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drawings/drawing5.xml" ContentType="application/vnd.openxmlformats-officedocument.drawing+xml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E:\icdt\"/>
    </mc:Choice>
  </mc:AlternateContent>
  <bookViews>
    <workbookView xWindow="2445" yWindow="1215" windowWidth="24900" windowHeight="15555" tabRatio="500"/>
  </bookViews>
  <sheets>
    <sheet name="LO" sheetId="1" r:id="rId1"/>
    <sheet name="Grades" sheetId="2" r:id="rId2"/>
    <sheet name="One" sheetId="3" r:id="rId3"/>
    <sheet name="Two" sheetId="4" r:id="rId4"/>
    <sheet name="Three" sheetId="5" r:id="rId5"/>
    <sheet name="Summary" sheetId="6" r:id="rId6"/>
  </sheets>
  <functionGroups builtInGroupCount="18"/>
  <calcPr calcId="15251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9" i="5" l="1"/>
  <c r="F9" i="5"/>
  <c r="G9" i="5"/>
  <c r="H9" i="5"/>
  <c r="I9" i="5"/>
  <c r="J9" i="5"/>
  <c r="K9" i="5"/>
  <c r="L9" i="5"/>
  <c r="M9" i="5"/>
  <c r="N9" i="5"/>
  <c r="O9" i="5"/>
  <c r="P9" i="5"/>
  <c r="Q9" i="5"/>
  <c r="R9" i="5"/>
  <c r="S9" i="5"/>
  <c r="T9" i="5"/>
  <c r="U9" i="5"/>
  <c r="V9" i="5"/>
  <c r="W9" i="5"/>
  <c r="X9" i="5"/>
  <c r="Y9" i="5"/>
  <c r="Z9" i="5"/>
  <c r="A95" i="6"/>
  <c r="J95" i="6"/>
  <c r="I95" i="6"/>
  <c r="H95" i="6"/>
  <c r="G95" i="6"/>
  <c r="F95" i="6"/>
  <c r="E9" i="4"/>
  <c r="F9" i="4"/>
  <c r="G9" i="4"/>
  <c r="H9" i="4"/>
  <c r="I9" i="4"/>
  <c r="J9" i="4"/>
  <c r="K9" i="4"/>
  <c r="L9" i="4"/>
  <c r="M9" i="4"/>
  <c r="N9" i="4"/>
  <c r="O9" i="4"/>
  <c r="P9" i="4"/>
  <c r="Q9" i="4"/>
  <c r="R9" i="4"/>
  <c r="S9" i="4"/>
  <c r="T9" i="4"/>
  <c r="U9" i="4"/>
  <c r="V9" i="4"/>
  <c r="W9" i="4"/>
  <c r="X9" i="4"/>
  <c r="Y9" i="4"/>
  <c r="Z9" i="4"/>
  <c r="A94" i="6"/>
  <c r="J94" i="6"/>
  <c r="I94" i="6"/>
  <c r="H94" i="6"/>
  <c r="G94" i="6"/>
  <c r="F94" i="6"/>
  <c r="E9" i="3"/>
  <c r="F9" i="3"/>
  <c r="G9" i="3"/>
  <c r="H9" i="3"/>
  <c r="I9" i="3"/>
  <c r="J9" i="3"/>
  <c r="K9" i="3"/>
  <c r="L9" i="3"/>
  <c r="M9" i="3"/>
  <c r="N9" i="3"/>
  <c r="O9" i="3"/>
  <c r="P9" i="3"/>
  <c r="Q9" i="3"/>
  <c r="R9" i="3"/>
  <c r="S9" i="3"/>
  <c r="T9" i="3"/>
  <c r="U9" i="3"/>
  <c r="V9" i="3"/>
  <c r="W9" i="3"/>
  <c r="X9" i="3"/>
  <c r="A93" i="6"/>
  <c r="J93" i="6"/>
  <c r="I93" i="6"/>
  <c r="H93" i="6"/>
  <c r="G93" i="6"/>
  <c r="F93" i="6"/>
  <c r="A88" i="6"/>
  <c r="J88" i="6"/>
  <c r="I88" i="6"/>
  <c r="H88" i="6"/>
  <c r="G88" i="6"/>
  <c r="F88" i="6"/>
  <c r="A87" i="6"/>
  <c r="J87" i="6"/>
  <c r="I87" i="6"/>
  <c r="H87" i="6"/>
  <c r="G87" i="6"/>
  <c r="F87" i="6"/>
  <c r="A86" i="6"/>
  <c r="J86" i="6"/>
  <c r="I86" i="6"/>
  <c r="H86" i="6"/>
  <c r="G86" i="6"/>
  <c r="F86" i="6"/>
  <c r="A81" i="6"/>
  <c r="J81" i="6"/>
  <c r="I81" i="6"/>
  <c r="H81" i="6"/>
  <c r="G81" i="6"/>
  <c r="F81" i="6"/>
  <c r="A80" i="6"/>
  <c r="J80" i="6"/>
  <c r="I80" i="6"/>
  <c r="H80" i="6"/>
  <c r="G80" i="6"/>
  <c r="F80" i="6"/>
  <c r="A79" i="6"/>
  <c r="J79" i="6"/>
  <c r="I79" i="6"/>
  <c r="H79" i="6"/>
  <c r="G79" i="6"/>
  <c r="F79" i="6"/>
  <c r="A74" i="6"/>
  <c r="J74" i="6"/>
  <c r="I74" i="6"/>
  <c r="H74" i="6"/>
  <c r="G74" i="6"/>
  <c r="F74" i="6"/>
  <c r="A73" i="6"/>
  <c r="J73" i="6"/>
  <c r="I73" i="6"/>
  <c r="H73" i="6"/>
  <c r="G73" i="6"/>
  <c r="F73" i="6"/>
  <c r="A72" i="6"/>
  <c r="J72" i="6"/>
  <c r="I72" i="6"/>
  <c r="H72" i="6"/>
  <c r="G72" i="6"/>
  <c r="F72" i="6"/>
  <c r="A67" i="6"/>
  <c r="J67" i="6"/>
  <c r="I67" i="6"/>
  <c r="H67" i="6"/>
  <c r="G67" i="6"/>
  <c r="F67" i="6"/>
  <c r="A66" i="6"/>
  <c r="J66" i="6"/>
  <c r="I66" i="6"/>
  <c r="H66" i="6"/>
  <c r="G66" i="6"/>
  <c r="F66" i="6"/>
  <c r="A65" i="6"/>
  <c r="AG9" i="3"/>
  <c r="AG10" i="3"/>
  <c r="AT10" i="3"/>
  <c r="AG11" i="3"/>
  <c r="AT11" i="3"/>
  <c r="AG12" i="3"/>
  <c r="AT12" i="3"/>
  <c r="AG13" i="3"/>
  <c r="AT13" i="3"/>
  <c r="AG14" i="3"/>
  <c r="AT14" i="3"/>
  <c r="AG15" i="3"/>
  <c r="AT15" i="3"/>
  <c r="AG16" i="3"/>
  <c r="AT16" i="3"/>
  <c r="AG17" i="3"/>
  <c r="AT17" i="3"/>
  <c r="AG18" i="3"/>
  <c r="AT18" i="3"/>
  <c r="AG19" i="3"/>
  <c r="AT19" i="3"/>
  <c r="AG20" i="3"/>
  <c r="AT20" i="3"/>
  <c r="AG21" i="3"/>
  <c r="AT21" i="3"/>
  <c r="AG22" i="3"/>
  <c r="AT22" i="3"/>
  <c r="AG23" i="3"/>
  <c r="AT23" i="3"/>
  <c r="AG24" i="3"/>
  <c r="AT24" i="3"/>
  <c r="AG25" i="3"/>
  <c r="AT25" i="3"/>
  <c r="AG26" i="3"/>
  <c r="AT26" i="3"/>
  <c r="AG27" i="3"/>
  <c r="AT27" i="3"/>
  <c r="AG28" i="3"/>
  <c r="AT28" i="3"/>
  <c r="AG29" i="3"/>
  <c r="AT29" i="3"/>
  <c r="AG30" i="3"/>
  <c r="AT30" i="3"/>
  <c r="AG31" i="3"/>
  <c r="AT31" i="3"/>
  <c r="AG32" i="3"/>
  <c r="AT32" i="3"/>
  <c r="AG33" i="3"/>
  <c r="AT33" i="3"/>
  <c r="AG34" i="3"/>
  <c r="AT34" i="3"/>
  <c r="AG35" i="3"/>
  <c r="AT35" i="3"/>
  <c r="AG36" i="3"/>
  <c r="AT36" i="3"/>
  <c r="AG37" i="3"/>
  <c r="AT37" i="3"/>
  <c r="AG38" i="3"/>
  <c r="AT38" i="3"/>
  <c r="AG39" i="3"/>
  <c r="AT39" i="3"/>
  <c r="AG40" i="3"/>
  <c r="AT40" i="3"/>
  <c r="AG41" i="3"/>
  <c r="AT41" i="3"/>
  <c r="AG42" i="3"/>
  <c r="AT42" i="3"/>
  <c r="AG43" i="3"/>
  <c r="AT43" i="3"/>
  <c r="AG44" i="3"/>
  <c r="AT44" i="3"/>
  <c r="AG45" i="3"/>
  <c r="AT45" i="3"/>
  <c r="AG46" i="3"/>
  <c r="AT46" i="3"/>
  <c r="AG47" i="3"/>
  <c r="AT47" i="3"/>
  <c r="AG48" i="3"/>
  <c r="AT48" i="3"/>
  <c r="AG49" i="3"/>
  <c r="AT49" i="3"/>
  <c r="AG50" i="3"/>
  <c r="AT50" i="3"/>
  <c r="AG51" i="3"/>
  <c r="AT51" i="3"/>
  <c r="AG52" i="3"/>
  <c r="AT52" i="3"/>
  <c r="AG53" i="3"/>
  <c r="AT53" i="3"/>
  <c r="AG54" i="3"/>
  <c r="AT54" i="3"/>
  <c r="AG55" i="3"/>
  <c r="AT55" i="3"/>
  <c r="AG56" i="3"/>
  <c r="AT56" i="3"/>
  <c r="AG57" i="3"/>
  <c r="AT57" i="3"/>
  <c r="AG58" i="3"/>
  <c r="AT58" i="3"/>
  <c r="AG59" i="3"/>
  <c r="AT59" i="3"/>
  <c r="AG60" i="3"/>
  <c r="AT60" i="3"/>
  <c r="AG61" i="3"/>
  <c r="AT61" i="3"/>
  <c r="AG62" i="3"/>
  <c r="AT62" i="3"/>
  <c r="AG63" i="3"/>
  <c r="AT63" i="3"/>
  <c r="AG64" i="3"/>
  <c r="AT64" i="3"/>
  <c r="AG65" i="3"/>
  <c r="AT65" i="3"/>
  <c r="AG66" i="3"/>
  <c r="AT66" i="3"/>
  <c r="AG67" i="3"/>
  <c r="AT67" i="3"/>
  <c r="AG68" i="3"/>
  <c r="AT68" i="3"/>
  <c r="AG69" i="3"/>
  <c r="AT69" i="3"/>
  <c r="AG70" i="3"/>
  <c r="AT70" i="3"/>
  <c r="AG71" i="3"/>
  <c r="AT71" i="3"/>
  <c r="AG72" i="3"/>
  <c r="AT72" i="3"/>
  <c r="AG73" i="3"/>
  <c r="AT73" i="3"/>
  <c r="AG74" i="3"/>
  <c r="AT74" i="3"/>
  <c r="AG75" i="3"/>
  <c r="AT75" i="3"/>
  <c r="AG76" i="3"/>
  <c r="AT76" i="3"/>
  <c r="AG77" i="3"/>
  <c r="AT77" i="3"/>
  <c r="AG78" i="3"/>
  <c r="AT78" i="3"/>
  <c r="AG79" i="3"/>
  <c r="AT79" i="3"/>
  <c r="AG80" i="3"/>
  <c r="AT80" i="3"/>
  <c r="AG81" i="3"/>
  <c r="AT81" i="3"/>
  <c r="AG82" i="3"/>
  <c r="AT82" i="3"/>
  <c r="AG83" i="3"/>
  <c r="AT83" i="3"/>
  <c r="AG84" i="3"/>
  <c r="AT84" i="3"/>
  <c r="AG85" i="3"/>
  <c r="AT85" i="3"/>
  <c r="AG86" i="3"/>
  <c r="AT86" i="3"/>
  <c r="AG87" i="3"/>
  <c r="AT87" i="3"/>
  <c r="AG88" i="3"/>
  <c r="AT88" i="3"/>
  <c r="AG89" i="3"/>
  <c r="AT89" i="3"/>
  <c r="AG90" i="3"/>
  <c r="AT90" i="3"/>
  <c r="AG91" i="3"/>
  <c r="AT91" i="3"/>
  <c r="AG92" i="3"/>
  <c r="AT92" i="3"/>
  <c r="AG93" i="3"/>
  <c r="AT93" i="3"/>
  <c r="AG94" i="3"/>
  <c r="AT94" i="3"/>
  <c r="AG95" i="3"/>
  <c r="AT95" i="3"/>
  <c r="AG96" i="3"/>
  <c r="AT96" i="3"/>
  <c r="AG97" i="3"/>
  <c r="AT97" i="3"/>
  <c r="AG98" i="3"/>
  <c r="AT98" i="3"/>
  <c r="AG99" i="3"/>
  <c r="AT99" i="3"/>
  <c r="AG100" i="3"/>
  <c r="AT100" i="3"/>
  <c r="BG10" i="3"/>
  <c r="BG11" i="3"/>
  <c r="BG12" i="3"/>
  <c r="BG13" i="3"/>
  <c r="BG14" i="3"/>
  <c r="BG15" i="3"/>
  <c r="J65" i="6"/>
  <c r="I65" i="6"/>
  <c r="H65" i="6"/>
  <c r="G65" i="6"/>
  <c r="F65" i="6"/>
  <c r="A60" i="6"/>
  <c r="J60" i="6"/>
  <c r="I60" i="6"/>
  <c r="H60" i="6"/>
  <c r="G60" i="6"/>
  <c r="F60" i="6"/>
  <c r="A59" i="6"/>
  <c r="J59" i="6"/>
  <c r="I59" i="6"/>
  <c r="H59" i="6"/>
  <c r="G59" i="6"/>
  <c r="F59" i="6"/>
  <c r="A58" i="6"/>
  <c r="J58" i="6"/>
  <c r="I58" i="6"/>
  <c r="H58" i="6"/>
  <c r="G58" i="6"/>
  <c r="F58" i="6"/>
  <c r="A53" i="6"/>
  <c r="J53" i="6"/>
  <c r="I53" i="6"/>
  <c r="H53" i="6"/>
  <c r="G53" i="6"/>
  <c r="F53" i="6"/>
  <c r="A52" i="6"/>
  <c r="J52" i="6"/>
  <c r="I52" i="6"/>
  <c r="H52" i="6"/>
  <c r="G52" i="6"/>
  <c r="F52" i="6"/>
  <c r="A51" i="6"/>
  <c r="J51" i="6"/>
  <c r="I51" i="6"/>
  <c r="H51" i="6"/>
  <c r="G51" i="6"/>
  <c r="F51" i="6"/>
  <c r="A46" i="6"/>
  <c r="J46" i="6"/>
  <c r="I46" i="6"/>
  <c r="H46" i="6"/>
  <c r="G46" i="6"/>
  <c r="F46" i="6"/>
  <c r="A45" i="6"/>
  <c r="J45" i="6"/>
  <c r="I45" i="6"/>
  <c r="H45" i="6"/>
  <c r="G45" i="6"/>
  <c r="F45" i="6"/>
  <c r="A44" i="6"/>
  <c r="AD9" i="3"/>
  <c r="AD10" i="3"/>
  <c r="AQ10" i="3"/>
  <c r="AD11" i="3"/>
  <c r="AQ11" i="3"/>
  <c r="AD12" i="3"/>
  <c r="AQ12" i="3"/>
  <c r="AD13" i="3"/>
  <c r="AQ13" i="3"/>
  <c r="AD14" i="3"/>
  <c r="AQ14" i="3"/>
  <c r="AD15" i="3"/>
  <c r="AQ15" i="3"/>
  <c r="AD16" i="3"/>
  <c r="AQ16" i="3"/>
  <c r="AD17" i="3"/>
  <c r="AQ17" i="3"/>
  <c r="AD18" i="3"/>
  <c r="AQ18" i="3"/>
  <c r="AD19" i="3"/>
  <c r="AQ19" i="3"/>
  <c r="AD20" i="3"/>
  <c r="AQ20" i="3"/>
  <c r="AD21" i="3"/>
  <c r="AQ21" i="3"/>
  <c r="AD22" i="3"/>
  <c r="AQ22" i="3"/>
  <c r="AD23" i="3"/>
  <c r="AQ23" i="3"/>
  <c r="AD24" i="3"/>
  <c r="AQ24" i="3"/>
  <c r="AD25" i="3"/>
  <c r="AQ25" i="3"/>
  <c r="AD26" i="3"/>
  <c r="AQ26" i="3"/>
  <c r="AD27" i="3"/>
  <c r="AQ27" i="3"/>
  <c r="AD28" i="3"/>
  <c r="AQ28" i="3"/>
  <c r="AD29" i="3"/>
  <c r="AQ29" i="3"/>
  <c r="AD30" i="3"/>
  <c r="AQ30" i="3"/>
  <c r="AD31" i="3"/>
  <c r="AQ31" i="3"/>
  <c r="AD32" i="3"/>
  <c r="AQ32" i="3"/>
  <c r="AD33" i="3"/>
  <c r="AQ33" i="3"/>
  <c r="AD34" i="3"/>
  <c r="AQ34" i="3"/>
  <c r="AD35" i="3"/>
  <c r="AQ35" i="3"/>
  <c r="AD36" i="3"/>
  <c r="AQ36" i="3"/>
  <c r="AD37" i="3"/>
  <c r="AQ37" i="3"/>
  <c r="AD38" i="3"/>
  <c r="AQ38" i="3"/>
  <c r="AD39" i="3"/>
  <c r="AQ39" i="3"/>
  <c r="AD40" i="3"/>
  <c r="AQ40" i="3"/>
  <c r="AD41" i="3"/>
  <c r="AQ41" i="3"/>
  <c r="AD42" i="3"/>
  <c r="AQ42" i="3"/>
  <c r="AD43" i="3"/>
  <c r="AQ43" i="3"/>
  <c r="AD44" i="3"/>
  <c r="AQ44" i="3"/>
  <c r="AD45" i="3"/>
  <c r="AQ45" i="3"/>
  <c r="AD46" i="3"/>
  <c r="AQ46" i="3"/>
  <c r="AD47" i="3"/>
  <c r="AQ47" i="3"/>
  <c r="AD48" i="3"/>
  <c r="AQ48" i="3"/>
  <c r="AD49" i="3"/>
  <c r="AQ49" i="3"/>
  <c r="AD50" i="3"/>
  <c r="AQ50" i="3"/>
  <c r="AD51" i="3"/>
  <c r="AQ51" i="3"/>
  <c r="AD52" i="3"/>
  <c r="AQ52" i="3"/>
  <c r="AD53" i="3"/>
  <c r="AQ53" i="3"/>
  <c r="AD54" i="3"/>
  <c r="AQ54" i="3"/>
  <c r="AD55" i="3"/>
  <c r="AQ55" i="3"/>
  <c r="AD56" i="3"/>
  <c r="AQ56" i="3"/>
  <c r="AD57" i="3"/>
  <c r="AQ57" i="3"/>
  <c r="AD58" i="3"/>
  <c r="AQ58" i="3"/>
  <c r="AD59" i="3"/>
  <c r="AQ59" i="3"/>
  <c r="AD60" i="3"/>
  <c r="AQ60" i="3"/>
  <c r="AD61" i="3"/>
  <c r="AQ61" i="3"/>
  <c r="AD62" i="3"/>
  <c r="AQ62" i="3"/>
  <c r="AD63" i="3"/>
  <c r="AQ63" i="3"/>
  <c r="AD64" i="3"/>
  <c r="AQ64" i="3"/>
  <c r="AD65" i="3"/>
  <c r="AQ65" i="3"/>
  <c r="AD66" i="3"/>
  <c r="AQ66" i="3"/>
  <c r="AD67" i="3"/>
  <c r="AQ67" i="3"/>
  <c r="AD68" i="3"/>
  <c r="AQ68" i="3"/>
  <c r="AD69" i="3"/>
  <c r="AQ69" i="3"/>
  <c r="AD70" i="3"/>
  <c r="AQ70" i="3"/>
  <c r="AD71" i="3"/>
  <c r="AQ71" i="3"/>
  <c r="AD72" i="3"/>
  <c r="AQ72" i="3"/>
  <c r="AD73" i="3"/>
  <c r="AQ73" i="3"/>
  <c r="AD74" i="3"/>
  <c r="AQ74" i="3"/>
  <c r="AD75" i="3"/>
  <c r="AQ75" i="3"/>
  <c r="AD76" i="3"/>
  <c r="AQ76" i="3"/>
  <c r="AD77" i="3"/>
  <c r="AQ77" i="3"/>
  <c r="AD78" i="3"/>
  <c r="AQ78" i="3"/>
  <c r="AD79" i="3"/>
  <c r="AQ79" i="3"/>
  <c r="AD80" i="3"/>
  <c r="AQ80" i="3"/>
  <c r="AD81" i="3"/>
  <c r="AQ81" i="3"/>
  <c r="AD82" i="3"/>
  <c r="AQ82" i="3"/>
  <c r="AD83" i="3"/>
  <c r="AQ83" i="3"/>
  <c r="AD84" i="3"/>
  <c r="AQ84" i="3"/>
  <c r="AD85" i="3"/>
  <c r="AQ85" i="3"/>
  <c r="AD86" i="3"/>
  <c r="AQ86" i="3"/>
  <c r="AD87" i="3"/>
  <c r="AQ87" i="3"/>
  <c r="AD88" i="3"/>
  <c r="AQ88" i="3"/>
  <c r="AD89" i="3"/>
  <c r="AQ89" i="3"/>
  <c r="AD90" i="3"/>
  <c r="AQ90" i="3"/>
  <c r="AD91" i="3"/>
  <c r="AQ91" i="3"/>
  <c r="AD92" i="3"/>
  <c r="AQ92" i="3"/>
  <c r="AD93" i="3"/>
  <c r="AQ93" i="3"/>
  <c r="AD94" i="3"/>
  <c r="AQ94" i="3"/>
  <c r="AD95" i="3"/>
  <c r="AQ95" i="3"/>
  <c r="AD96" i="3"/>
  <c r="AQ96" i="3"/>
  <c r="AD97" i="3"/>
  <c r="AQ97" i="3"/>
  <c r="AD98" i="3"/>
  <c r="AQ98" i="3"/>
  <c r="AD99" i="3"/>
  <c r="AQ99" i="3"/>
  <c r="AD100" i="3"/>
  <c r="AQ100" i="3"/>
  <c r="BD10" i="3"/>
  <c r="BD11" i="3"/>
  <c r="BD12" i="3"/>
  <c r="BD13" i="3"/>
  <c r="BD14" i="3"/>
  <c r="BD15" i="3"/>
  <c r="J44" i="6"/>
  <c r="I44" i="6"/>
  <c r="H44" i="6"/>
  <c r="G44" i="6"/>
  <c r="F44" i="6"/>
  <c r="A39" i="6"/>
  <c r="J39" i="6"/>
  <c r="I39" i="6"/>
  <c r="H39" i="6"/>
  <c r="G39" i="6"/>
  <c r="F39" i="6"/>
  <c r="A38" i="6"/>
  <c r="J38" i="6"/>
  <c r="I38" i="6"/>
  <c r="H38" i="6"/>
  <c r="G38" i="6"/>
  <c r="F38" i="6"/>
  <c r="A37" i="6"/>
  <c r="J37" i="6"/>
  <c r="I37" i="6"/>
  <c r="H37" i="6"/>
  <c r="G37" i="6"/>
  <c r="F37" i="6"/>
  <c r="A32" i="6"/>
  <c r="A31" i="6"/>
  <c r="A30" i="6"/>
  <c r="J32" i="6"/>
  <c r="I32" i="6"/>
  <c r="H32" i="6"/>
  <c r="G32" i="6"/>
  <c r="F32" i="6"/>
  <c r="J31" i="6"/>
  <c r="I31" i="6"/>
  <c r="H31" i="6"/>
  <c r="G31" i="6"/>
  <c r="F31" i="6"/>
  <c r="J30" i="6"/>
  <c r="I30" i="6"/>
  <c r="H30" i="6"/>
  <c r="G30" i="6"/>
  <c r="F30" i="6"/>
  <c r="A23" i="6"/>
  <c r="A25" i="6"/>
  <c r="J25" i="6"/>
  <c r="I25" i="6"/>
  <c r="H25" i="6"/>
  <c r="G25" i="6"/>
  <c r="F25" i="6"/>
  <c r="A24" i="6"/>
  <c r="J24" i="6"/>
  <c r="I24" i="6"/>
  <c r="H24" i="6"/>
  <c r="G24" i="6"/>
  <c r="F24" i="6"/>
  <c r="J23" i="6"/>
  <c r="I23" i="6"/>
  <c r="H23" i="6"/>
  <c r="G23" i="6"/>
  <c r="F23" i="6"/>
  <c r="A16" i="6"/>
  <c r="A18" i="6"/>
  <c r="J18" i="6"/>
  <c r="I18" i="6"/>
  <c r="H18" i="6"/>
  <c r="G18" i="6"/>
  <c r="F18" i="6"/>
  <c r="A17" i="6"/>
  <c r="F17" i="6"/>
  <c r="J17" i="6"/>
  <c r="I17" i="6"/>
  <c r="H17" i="6"/>
  <c r="G17" i="6"/>
  <c r="F16" i="6"/>
  <c r="J16" i="6"/>
  <c r="I16" i="6"/>
  <c r="H16" i="6"/>
  <c r="G16" i="6"/>
  <c r="A3" i="6"/>
  <c r="A2" i="6"/>
  <c r="AM9" i="5"/>
  <c r="AZ100" i="5"/>
  <c r="AL9" i="5"/>
  <c r="AY100" i="5"/>
  <c r="AK9" i="5"/>
  <c r="AX100" i="5"/>
  <c r="AJ9" i="5"/>
  <c r="AW100" i="5"/>
  <c r="AI9" i="5"/>
  <c r="AV100" i="5"/>
  <c r="AH9" i="5"/>
  <c r="AU100" i="5"/>
  <c r="AG9" i="5"/>
  <c r="AT100" i="5"/>
  <c r="AF9" i="5"/>
  <c r="AS100" i="5"/>
  <c r="AE9" i="5"/>
  <c r="AR100" i="5"/>
  <c r="AD9" i="5"/>
  <c r="AQ100" i="5"/>
  <c r="AC9" i="5"/>
  <c r="AP100" i="5"/>
  <c r="AB9" i="5"/>
  <c r="AO100" i="5"/>
  <c r="AM100" i="5"/>
  <c r="AL100" i="5"/>
  <c r="AK100" i="5"/>
  <c r="AJ100" i="5"/>
  <c r="AI100" i="5"/>
  <c r="AH100" i="5"/>
  <c r="AG100" i="5"/>
  <c r="AF100" i="5"/>
  <c r="AE100" i="5"/>
  <c r="AD100" i="5"/>
  <c r="AC100" i="5"/>
  <c r="AB100" i="5"/>
  <c r="AZ99" i="5"/>
  <c r="AY99" i="5"/>
  <c r="AX99" i="5"/>
  <c r="AW99" i="5"/>
  <c r="AV99" i="5"/>
  <c r="AU99" i="5"/>
  <c r="AT99" i="5"/>
  <c r="AS99" i="5"/>
  <c r="AR99" i="5"/>
  <c r="AQ99" i="5"/>
  <c r="AP99" i="5"/>
  <c r="AO99" i="5"/>
  <c r="AM99" i="5"/>
  <c r="AL99" i="5"/>
  <c r="AK99" i="5"/>
  <c r="AJ99" i="5"/>
  <c r="AI99" i="5"/>
  <c r="AH99" i="5"/>
  <c r="AG99" i="5"/>
  <c r="AF99" i="5"/>
  <c r="AE99" i="5"/>
  <c r="AD99" i="5"/>
  <c r="AC99" i="5"/>
  <c r="AB99" i="5"/>
  <c r="AZ98" i="5"/>
  <c r="AY98" i="5"/>
  <c r="AX98" i="5"/>
  <c r="AW98" i="5"/>
  <c r="AV98" i="5"/>
  <c r="AU98" i="5"/>
  <c r="AT98" i="5"/>
  <c r="AS98" i="5"/>
  <c r="AR98" i="5"/>
  <c r="AQ98" i="5"/>
  <c r="AP98" i="5"/>
  <c r="AO98" i="5"/>
  <c r="AM98" i="5"/>
  <c r="AL98" i="5"/>
  <c r="AK98" i="5"/>
  <c r="AJ98" i="5"/>
  <c r="AI98" i="5"/>
  <c r="AH98" i="5"/>
  <c r="AG98" i="5"/>
  <c r="AF98" i="5"/>
  <c r="AE98" i="5"/>
  <c r="AD98" i="5"/>
  <c r="AC98" i="5"/>
  <c r="AB98" i="5"/>
  <c r="AZ97" i="5"/>
  <c r="AY97" i="5"/>
  <c r="AX97" i="5"/>
  <c r="AW97" i="5"/>
  <c r="AV97" i="5"/>
  <c r="AU97" i="5"/>
  <c r="AT97" i="5"/>
  <c r="AS97" i="5"/>
  <c r="AR97" i="5"/>
  <c r="AQ97" i="5"/>
  <c r="AP97" i="5"/>
  <c r="AO97" i="5"/>
  <c r="AM97" i="5"/>
  <c r="AL97" i="5"/>
  <c r="AK97" i="5"/>
  <c r="AJ97" i="5"/>
  <c r="AI97" i="5"/>
  <c r="AH97" i="5"/>
  <c r="AG97" i="5"/>
  <c r="AF97" i="5"/>
  <c r="AE97" i="5"/>
  <c r="AD97" i="5"/>
  <c r="AC97" i="5"/>
  <c r="AB97" i="5"/>
  <c r="AZ96" i="5"/>
  <c r="AY96" i="5"/>
  <c r="AX96" i="5"/>
  <c r="AW96" i="5"/>
  <c r="AV96" i="5"/>
  <c r="AU96" i="5"/>
  <c r="AT96" i="5"/>
  <c r="AS96" i="5"/>
  <c r="AR96" i="5"/>
  <c r="AQ96" i="5"/>
  <c r="AP96" i="5"/>
  <c r="AO96" i="5"/>
  <c r="AM96" i="5"/>
  <c r="AL96" i="5"/>
  <c r="AK96" i="5"/>
  <c r="AJ96" i="5"/>
  <c r="AI96" i="5"/>
  <c r="AH96" i="5"/>
  <c r="AG96" i="5"/>
  <c r="AF96" i="5"/>
  <c r="AE96" i="5"/>
  <c r="AD96" i="5"/>
  <c r="AC96" i="5"/>
  <c r="AB96" i="5"/>
  <c r="AZ95" i="5"/>
  <c r="AY95" i="5"/>
  <c r="AX95" i="5"/>
  <c r="AW95" i="5"/>
  <c r="AV95" i="5"/>
  <c r="AU95" i="5"/>
  <c r="AT95" i="5"/>
  <c r="AS95" i="5"/>
  <c r="AR95" i="5"/>
  <c r="AQ95" i="5"/>
  <c r="AP95" i="5"/>
  <c r="AO95" i="5"/>
  <c r="AM95" i="5"/>
  <c r="AL95" i="5"/>
  <c r="AK95" i="5"/>
  <c r="AJ95" i="5"/>
  <c r="AI95" i="5"/>
  <c r="AH95" i="5"/>
  <c r="AG95" i="5"/>
  <c r="AF95" i="5"/>
  <c r="AE95" i="5"/>
  <c r="AD95" i="5"/>
  <c r="AC95" i="5"/>
  <c r="AB95" i="5"/>
  <c r="AZ94" i="5"/>
  <c r="AY94" i="5"/>
  <c r="AX94" i="5"/>
  <c r="AW94" i="5"/>
  <c r="AV94" i="5"/>
  <c r="AU94" i="5"/>
  <c r="AT94" i="5"/>
  <c r="AS94" i="5"/>
  <c r="AR94" i="5"/>
  <c r="AQ94" i="5"/>
  <c r="AP94" i="5"/>
  <c r="AO94" i="5"/>
  <c r="AM94" i="5"/>
  <c r="AL94" i="5"/>
  <c r="AK94" i="5"/>
  <c r="AJ94" i="5"/>
  <c r="AI94" i="5"/>
  <c r="AH94" i="5"/>
  <c r="AG94" i="5"/>
  <c r="AF94" i="5"/>
  <c r="AE94" i="5"/>
  <c r="AD94" i="5"/>
  <c r="AC94" i="5"/>
  <c r="AB94" i="5"/>
  <c r="AZ93" i="5"/>
  <c r="AY93" i="5"/>
  <c r="AX93" i="5"/>
  <c r="AW93" i="5"/>
  <c r="AV93" i="5"/>
  <c r="AU93" i="5"/>
  <c r="AT93" i="5"/>
  <c r="AS93" i="5"/>
  <c r="AR93" i="5"/>
  <c r="AQ93" i="5"/>
  <c r="AP93" i="5"/>
  <c r="AO93" i="5"/>
  <c r="AM93" i="5"/>
  <c r="AL93" i="5"/>
  <c r="AK93" i="5"/>
  <c r="AJ93" i="5"/>
  <c r="AI93" i="5"/>
  <c r="AH93" i="5"/>
  <c r="AG93" i="5"/>
  <c r="AF93" i="5"/>
  <c r="AE93" i="5"/>
  <c r="AD93" i="5"/>
  <c r="AC93" i="5"/>
  <c r="AB93" i="5"/>
  <c r="AZ92" i="5"/>
  <c r="AY92" i="5"/>
  <c r="AX92" i="5"/>
  <c r="AW92" i="5"/>
  <c r="AV92" i="5"/>
  <c r="AU92" i="5"/>
  <c r="AT92" i="5"/>
  <c r="AS92" i="5"/>
  <c r="AR92" i="5"/>
  <c r="AQ92" i="5"/>
  <c r="AP92" i="5"/>
  <c r="AO92" i="5"/>
  <c r="AM92" i="5"/>
  <c r="AL92" i="5"/>
  <c r="AK92" i="5"/>
  <c r="AJ92" i="5"/>
  <c r="AI92" i="5"/>
  <c r="AH92" i="5"/>
  <c r="AG92" i="5"/>
  <c r="AF92" i="5"/>
  <c r="AE92" i="5"/>
  <c r="AD92" i="5"/>
  <c r="AC92" i="5"/>
  <c r="AB92" i="5"/>
  <c r="AZ91" i="5"/>
  <c r="AY91" i="5"/>
  <c r="AX91" i="5"/>
  <c r="AW91" i="5"/>
  <c r="AV91" i="5"/>
  <c r="AU91" i="5"/>
  <c r="AT91" i="5"/>
  <c r="AS91" i="5"/>
  <c r="AR91" i="5"/>
  <c r="AQ91" i="5"/>
  <c r="AP91" i="5"/>
  <c r="AO91" i="5"/>
  <c r="AM91" i="5"/>
  <c r="AL91" i="5"/>
  <c r="AK91" i="5"/>
  <c r="AJ91" i="5"/>
  <c r="AI91" i="5"/>
  <c r="AH91" i="5"/>
  <c r="AG91" i="5"/>
  <c r="AF91" i="5"/>
  <c r="AE91" i="5"/>
  <c r="AD91" i="5"/>
  <c r="AC91" i="5"/>
  <c r="AB91" i="5"/>
  <c r="AZ90" i="5"/>
  <c r="AY90" i="5"/>
  <c r="AX90" i="5"/>
  <c r="AW90" i="5"/>
  <c r="AV90" i="5"/>
  <c r="AU90" i="5"/>
  <c r="AT90" i="5"/>
  <c r="AS90" i="5"/>
  <c r="AR90" i="5"/>
  <c r="AQ90" i="5"/>
  <c r="AP90" i="5"/>
  <c r="AO90" i="5"/>
  <c r="AM90" i="5"/>
  <c r="AL90" i="5"/>
  <c r="AK90" i="5"/>
  <c r="AJ90" i="5"/>
  <c r="AI90" i="5"/>
  <c r="AH90" i="5"/>
  <c r="AG90" i="5"/>
  <c r="AF90" i="5"/>
  <c r="AE90" i="5"/>
  <c r="AD90" i="5"/>
  <c r="AC90" i="5"/>
  <c r="AB90" i="5"/>
  <c r="AZ89" i="5"/>
  <c r="AY89" i="5"/>
  <c r="AX89" i="5"/>
  <c r="AW89" i="5"/>
  <c r="AV89" i="5"/>
  <c r="AU89" i="5"/>
  <c r="AT89" i="5"/>
  <c r="AS89" i="5"/>
  <c r="AR89" i="5"/>
  <c r="AQ89" i="5"/>
  <c r="AP89" i="5"/>
  <c r="AO89" i="5"/>
  <c r="AM89" i="5"/>
  <c r="AL89" i="5"/>
  <c r="AK89" i="5"/>
  <c r="AJ89" i="5"/>
  <c r="AI89" i="5"/>
  <c r="AH89" i="5"/>
  <c r="AG89" i="5"/>
  <c r="AF89" i="5"/>
  <c r="AE89" i="5"/>
  <c r="AD89" i="5"/>
  <c r="AC89" i="5"/>
  <c r="AB89" i="5"/>
  <c r="AZ88" i="5"/>
  <c r="AY88" i="5"/>
  <c r="AX88" i="5"/>
  <c r="AW88" i="5"/>
  <c r="AV88" i="5"/>
  <c r="AU88" i="5"/>
  <c r="AT88" i="5"/>
  <c r="AS88" i="5"/>
  <c r="AR88" i="5"/>
  <c r="AQ88" i="5"/>
  <c r="AP88" i="5"/>
  <c r="AO88" i="5"/>
  <c r="AM88" i="5"/>
  <c r="AL88" i="5"/>
  <c r="AK88" i="5"/>
  <c r="AJ88" i="5"/>
  <c r="AI88" i="5"/>
  <c r="AH88" i="5"/>
  <c r="AG88" i="5"/>
  <c r="AF88" i="5"/>
  <c r="AE88" i="5"/>
  <c r="AD88" i="5"/>
  <c r="AC88" i="5"/>
  <c r="AB88" i="5"/>
  <c r="AZ87" i="5"/>
  <c r="AY87" i="5"/>
  <c r="AX87" i="5"/>
  <c r="AW87" i="5"/>
  <c r="AV87" i="5"/>
  <c r="AU87" i="5"/>
  <c r="AT87" i="5"/>
  <c r="AS87" i="5"/>
  <c r="AR87" i="5"/>
  <c r="AQ87" i="5"/>
  <c r="AP87" i="5"/>
  <c r="AO87" i="5"/>
  <c r="AM87" i="5"/>
  <c r="AL87" i="5"/>
  <c r="AK87" i="5"/>
  <c r="AJ87" i="5"/>
  <c r="AI87" i="5"/>
  <c r="AH87" i="5"/>
  <c r="AG87" i="5"/>
  <c r="AF87" i="5"/>
  <c r="AE87" i="5"/>
  <c r="AD87" i="5"/>
  <c r="AC87" i="5"/>
  <c r="AB87" i="5"/>
  <c r="AZ86" i="5"/>
  <c r="AY86" i="5"/>
  <c r="AX86" i="5"/>
  <c r="AW86" i="5"/>
  <c r="AV86" i="5"/>
  <c r="AU86" i="5"/>
  <c r="AT86" i="5"/>
  <c r="AS86" i="5"/>
  <c r="AR86" i="5"/>
  <c r="AQ86" i="5"/>
  <c r="AP86" i="5"/>
  <c r="AO86" i="5"/>
  <c r="AM86" i="5"/>
  <c r="AL86" i="5"/>
  <c r="AK86" i="5"/>
  <c r="AJ86" i="5"/>
  <c r="AI86" i="5"/>
  <c r="AH86" i="5"/>
  <c r="AG86" i="5"/>
  <c r="AF86" i="5"/>
  <c r="AE86" i="5"/>
  <c r="AD86" i="5"/>
  <c r="AC86" i="5"/>
  <c r="AB86" i="5"/>
  <c r="AZ85" i="5"/>
  <c r="AY85" i="5"/>
  <c r="AX85" i="5"/>
  <c r="AW85" i="5"/>
  <c r="AV85" i="5"/>
  <c r="AU85" i="5"/>
  <c r="AT85" i="5"/>
  <c r="AS85" i="5"/>
  <c r="AR85" i="5"/>
  <c r="AQ85" i="5"/>
  <c r="AP85" i="5"/>
  <c r="AO85" i="5"/>
  <c r="AM85" i="5"/>
  <c r="AL85" i="5"/>
  <c r="AK85" i="5"/>
  <c r="AJ85" i="5"/>
  <c r="AI85" i="5"/>
  <c r="AH85" i="5"/>
  <c r="AG85" i="5"/>
  <c r="AF85" i="5"/>
  <c r="AE85" i="5"/>
  <c r="AD85" i="5"/>
  <c r="AC85" i="5"/>
  <c r="AB85" i="5"/>
  <c r="AZ84" i="5"/>
  <c r="AY84" i="5"/>
  <c r="AX84" i="5"/>
  <c r="AW84" i="5"/>
  <c r="AV84" i="5"/>
  <c r="AU84" i="5"/>
  <c r="AT84" i="5"/>
  <c r="AS84" i="5"/>
  <c r="AR84" i="5"/>
  <c r="AQ84" i="5"/>
  <c r="AP84" i="5"/>
  <c r="AO84" i="5"/>
  <c r="AM84" i="5"/>
  <c r="AL84" i="5"/>
  <c r="AK84" i="5"/>
  <c r="AJ84" i="5"/>
  <c r="AI84" i="5"/>
  <c r="AH84" i="5"/>
  <c r="AG84" i="5"/>
  <c r="AF84" i="5"/>
  <c r="AE84" i="5"/>
  <c r="AD84" i="5"/>
  <c r="AC84" i="5"/>
  <c r="AB84" i="5"/>
  <c r="AZ83" i="5"/>
  <c r="AY83" i="5"/>
  <c r="AX83" i="5"/>
  <c r="AW83" i="5"/>
  <c r="AV83" i="5"/>
  <c r="AU83" i="5"/>
  <c r="AT83" i="5"/>
  <c r="AS83" i="5"/>
  <c r="AR83" i="5"/>
  <c r="AQ83" i="5"/>
  <c r="AP83" i="5"/>
  <c r="AO83" i="5"/>
  <c r="AM83" i="5"/>
  <c r="AL83" i="5"/>
  <c r="AK83" i="5"/>
  <c r="AJ83" i="5"/>
  <c r="AI83" i="5"/>
  <c r="AH83" i="5"/>
  <c r="AG83" i="5"/>
  <c r="AF83" i="5"/>
  <c r="AE83" i="5"/>
  <c r="AD83" i="5"/>
  <c r="AC83" i="5"/>
  <c r="AB83" i="5"/>
  <c r="AZ82" i="5"/>
  <c r="AY82" i="5"/>
  <c r="AX82" i="5"/>
  <c r="AW82" i="5"/>
  <c r="AV82" i="5"/>
  <c r="AU82" i="5"/>
  <c r="AT82" i="5"/>
  <c r="AS82" i="5"/>
  <c r="AR82" i="5"/>
  <c r="AQ82" i="5"/>
  <c r="AP82" i="5"/>
  <c r="AO82" i="5"/>
  <c r="AM82" i="5"/>
  <c r="AL82" i="5"/>
  <c r="AK82" i="5"/>
  <c r="AJ82" i="5"/>
  <c r="AI82" i="5"/>
  <c r="AH82" i="5"/>
  <c r="AG82" i="5"/>
  <c r="AF82" i="5"/>
  <c r="AE82" i="5"/>
  <c r="AD82" i="5"/>
  <c r="AC82" i="5"/>
  <c r="AB82" i="5"/>
  <c r="AZ81" i="5"/>
  <c r="AY81" i="5"/>
  <c r="AX81" i="5"/>
  <c r="AW81" i="5"/>
  <c r="AV81" i="5"/>
  <c r="AU81" i="5"/>
  <c r="AT81" i="5"/>
  <c r="AS81" i="5"/>
  <c r="AR81" i="5"/>
  <c r="AQ81" i="5"/>
  <c r="AP81" i="5"/>
  <c r="AO81" i="5"/>
  <c r="AM81" i="5"/>
  <c r="AL81" i="5"/>
  <c r="AK81" i="5"/>
  <c r="AJ81" i="5"/>
  <c r="AI81" i="5"/>
  <c r="AH81" i="5"/>
  <c r="AG81" i="5"/>
  <c r="AF81" i="5"/>
  <c r="AE81" i="5"/>
  <c r="AD81" i="5"/>
  <c r="AC81" i="5"/>
  <c r="AB81" i="5"/>
  <c r="AZ80" i="5"/>
  <c r="AY80" i="5"/>
  <c r="AX80" i="5"/>
  <c r="AW80" i="5"/>
  <c r="AV80" i="5"/>
  <c r="AU80" i="5"/>
  <c r="AT80" i="5"/>
  <c r="AS80" i="5"/>
  <c r="AR80" i="5"/>
  <c r="AQ80" i="5"/>
  <c r="AP80" i="5"/>
  <c r="AO80" i="5"/>
  <c r="AM80" i="5"/>
  <c r="AL80" i="5"/>
  <c r="AK80" i="5"/>
  <c r="AJ80" i="5"/>
  <c r="AI80" i="5"/>
  <c r="AH80" i="5"/>
  <c r="AG80" i="5"/>
  <c r="AF80" i="5"/>
  <c r="AE80" i="5"/>
  <c r="AD80" i="5"/>
  <c r="AC80" i="5"/>
  <c r="AB80" i="5"/>
  <c r="AZ79" i="5"/>
  <c r="AY79" i="5"/>
  <c r="AX79" i="5"/>
  <c r="AW79" i="5"/>
  <c r="AV79" i="5"/>
  <c r="AU79" i="5"/>
  <c r="AT79" i="5"/>
  <c r="AS79" i="5"/>
  <c r="AR79" i="5"/>
  <c r="AQ79" i="5"/>
  <c r="AP79" i="5"/>
  <c r="AO79" i="5"/>
  <c r="AM79" i="5"/>
  <c r="AL79" i="5"/>
  <c r="AK79" i="5"/>
  <c r="AJ79" i="5"/>
  <c r="AI79" i="5"/>
  <c r="AH79" i="5"/>
  <c r="AG79" i="5"/>
  <c r="AF79" i="5"/>
  <c r="AE79" i="5"/>
  <c r="AD79" i="5"/>
  <c r="AC79" i="5"/>
  <c r="AB79" i="5"/>
  <c r="AZ78" i="5"/>
  <c r="AY78" i="5"/>
  <c r="AX78" i="5"/>
  <c r="AW78" i="5"/>
  <c r="AV78" i="5"/>
  <c r="AU78" i="5"/>
  <c r="AT78" i="5"/>
  <c r="AS78" i="5"/>
  <c r="AR78" i="5"/>
  <c r="AQ78" i="5"/>
  <c r="AP78" i="5"/>
  <c r="AO78" i="5"/>
  <c r="AM78" i="5"/>
  <c r="AL78" i="5"/>
  <c r="AK78" i="5"/>
  <c r="AJ78" i="5"/>
  <c r="AI78" i="5"/>
  <c r="AH78" i="5"/>
  <c r="AG78" i="5"/>
  <c r="AF78" i="5"/>
  <c r="AE78" i="5"/>
  <c r="AD78" i="5"/>
  <c r="AC78" i="5"/>
  <c r="AB78" i="5"/>
  <c r="AZ77" i="5"/>
  <c r="AY77" i="5"/>
  <c r="AX77" i="5"/>
  <c r="AW77" i="5"/>
  <c r="AV77" i="5"/>
  <c r="AU77" i="5"/>
  <c r="AT77" i="5"/>
  <c r="AS77" i="5"/>
  <c r="AR77" i="5"/>
  <c r="AQ77" i="5"/>
  <c r="AP77" i="5"/>
  <c r="AO77" i="5"/>
  <c r="AM77" i="5"/>
  <c r="AL77" i="5"/>
  <c r="AK77" i="5"/>
  <c r="AJ77" i="5"/>
  <c r="AI77" i="5"/>
  <c r="AH77" i="5"/>
  <c r="AG77" i="5"/>
  <c r="AF77" i="5"/>
  <c r="AE77" i="5"/>
  <c r="AD77" i="5"/>
  <c r="AC77" i="5"/>
  <c r="AB77" i="5"/>
  <c r="AZ76" i="5"/>
  <c r="AY76" i="5"/>
  <c r="AX76" i="5"/>
  <c r="AW76" i="5"/>
  <c r="AV76" i="5"/>
  <c r="AU76" i="5"/>
  <c r="AT76" i="5"/>
  <c r="AS76" i="5"/>
  <c r="AR76" i="5"/>
  <c r="AQ76" i="5"/>
  <c r="AP76" i="5"/>
  <c r="AO76" i="5"/>
  <c r="AM76" i="5"/>
  <c r="AL76" i="5"/>
  <c r="AK76" i="5"/>
  <c r="AJ76" i="5"/>
  <c r="AI76" i="5"/>
  <c r="AH76" i="5"/>
  <c r="AG76" i="5"/>
  <c r="AF76" i="5"/>
  <c r="AE76" i="5"/>
  <c r="AD76" i="5"/>
  <c r="AC76" i="5"/>
  <c r="AB76" i="5"/>
  <c r="AZ75" i="5"/>
  <c r="AY75" i="5"/>
  <c r="AX75" i="5"/>
  <c r="AW75" i="5"/>
  <c r="AV75" i="5"/>
  <c r="AU75" i="5"/>
  <c r="AT75" i="5"/>
  <c r="AS75" i="5"/>
  <c r="AR75" i="5"/>
  <c r="AQ75" i="5"/>
  <c r="AP75" i="5"/>
  <c r="AO75" i="5"/>
  <c r="AM75" i="5"/>
  <c r="AL75" i="5"/>
  <c r="AK75" i="5"/>
  <c r="AJ75" i="5"/>
  <c r="AI75" i="5"/>
  <c r="AH75" i="5"/>
  <c r="AG75" i="5"/>
  <c r="AF75" i="5"/>
  <c r="AE75" i="5"/>
  <c r="AD75" i="5"/>
  <c r="AC75" i="5"/>
  <c r="AB75" i="5"/>
  <c r="AZ74" i="5"/>
  <c r="AY74" i="5"/>
  <c r="AX74" i="5"/>
  <c r="AW74" i="5"/>
  <c r="AV74" i="5"/>
  <c r="AU74" i="5"/>
  <c r="AT74" i="5"/>
  <c r="AS74" i="5"/>
  <c r="AR74" i="5"/>
  <c r="AQ74" i="5"/>
  <c r="AP74" i="5"/>
  <c r="AO74" i="5"/>
  <c r="AM74" i="5"/>
  <c r="AL74" i="5"/>
  <c r="AK74" i="5"/>
  <c r="AJ74" i="5"/>
  <c r="AI74" i="5"/>
  <c r="AH74" i="5"/>
  <c r="AG74" i="5"/>
  <c r="AF74" i="5"/>
  <c r="AE74" i="5"/>
  <c r="AD74" i="5"/>
  <c r="AC74" i="5"/>
  <c r="AB74" i="5"/>
  <c r="AZ73" i="5"/>
  <c r="AY73" i="5"/>
  <c r="AX73" i="5"/>
  <c r="AW73" i="5"/>
  <c r="AV73" i="5"/>
  <c r="AU73" i="5"/>
  <c r="AT73" i="5"/>
  <c r="AS73" i="5"/>
  <c r="AR73" i="5"/>
  <c r="AQ73" i="5"/>
  <c r="AP73" i="5"/>
  <c r="AO73" i="5"/>
  <c r="AM73" i="5"/>
  <c r="AL73" i="5"/>
  <c r="AK73" i="5"/>
  <c r="AJ73" i="5"/>
  <c r="AI73" i="5"/>
  <c r="AH73" i="5"/>
  <c r="AG73" i="5"/>
  <c r="AF73" i="5"/>
  <c r="AE73" i="5"/>
  <c r="AD73" i="5"/>
  <c r="AC73" i="5"/>
  <c r="AB73" i="5"/>
  <c r="AZ72" i="5"/>
  <c r="AY72" i="5"/>
  <c r="AX72" i="5"/>
  <c r="AW72" i="5"/>
  <c r="AV72" i="5"/>
  <c r="AU72" i="5"/>
  <c r="AT72" i="5"/>
  <c r="AS72" i="5"/>
  <c r="AR72" i="5"/>
  <c r="AQ72" i="5"/>
  <c r="AP72" i="5"/>
  <c r="AO72" i="5"/>
  <c r="AM72" i="5"/>
  <c r="AL72" i="5"/>
  <c r="AK72" i="5"/>
  <c r="AJ72" i="5"/>
  <c r="AI72" i="5"/>
  <c r="AH72" i="5"/>
  <c r="AG72" i="5"/>
  <c r="AF72" i="5"/>
  <c r="AE72" i="5"/>
  <c r="AD72" i="5"/>
  <c r="AC72" i="5"/>
  <c r="AB72" i="5"/>
  <c r="AZ71" i="5"/>
  <c r="AY71" i="5"/>
  <c r="AX71" i="5"/>
  <c r="AW71" i="5"/>
  <c r="AV71" i="5"/>
  <c r="AU71" i="5"/>
  <c r="AT71" i="5"/>
  <c r="AS71" i="5"/>
  <c r="AR71" i="5"/>
  <c r="AQ71" i="5"/>
  <c r="AP71" i="5"/>
  <c r="AO71" i="5"/>
  <c r="AM71" i="5"/>
  <c r="AL71" i="5"/>
  <c r="AK71" i="5"/>
  <c r="AJ71" i="5"/>
  <c r="AI71" i="5"/>
  <c r="AH71" i="5"/>
  <c r="AG71" i="5"/>
  <c r="AF71" i="5"/>
  <c r="AE71" i="5"/>
  <c r="AD71" i="5"/>
  <c r="AC71" i="5"/>
  <c r="AB71" i="5"/>
  <c r="AZ70" i="5"/>
  <c r="AY70" i="5"/>
  <c r="AX70" i="5"/>
  <c r="AW70" i="5"/>
  <c r="AV70" i="5"/>
  <c r="AU70" i="5"/>
  <c r="AT70" i="5"/>
  <c r="AS70" i="5"/>
  <c r="AR70" i="5"/>
  <c r="AQ70" i="5"/>
  <c r="AP70" i="5"/>
  <c r="AO70" i="5"/>
  <c r="AM70" i="5"/>
  <c r="AL70" i="5"/>
  <c r="AK70" i="5"/>
  <c r="AJ70" i="5"/>
  <c r="AI70" i="5"/>
  <c r="AH70" i="5"/>
  <c r="AG70" i="5"/>
  <c r="AF70" i="5"/>
  <c r="AE70" i="5"/>
  <c r="AD70" i="5"/>
  <c r="AC70" i="5"/>
  <c r="AB70" i="5"/>
  <c r="AZ69" i="5"/>
  <c r="AY69" i="5"/>
  <c r="AX69" i="5"/>
  <c r="AW69" i="5"/>
  <c r="AV69" i="5"/>
  <c r="AU69" i="5"/>
  <c r="AT69" i="5"/>
  <c r="AS69" i="5"/>
  <c r="AR69" i="5"/>
  <c r="AQ69" i="5"/>
  <c r="AP69" i="5"/>
  <c r="AO69" i="5"/>
  <c r="AM69" i="5"/>
  <c r="AL69" i="5"/>
  <c r="AK69" i="5"/>
  <c r="AJ69" i="5"/>
  <c r="AI69" i="5"/>
  <c r="AH69" i="5"/>
  <c r="AG69" i="5"/>
  <c r="AF69" i="5"/>
  <c r="AE69" i="5"/>
  <c r="AD69" i="5"/>
  <c r="AC69" i="5"/>
  <c r="AB69" i="5"/>
  <c r="AZ68" i="5"/>
  <c r="AY68" i="5"/>
  <c r="AX68" i="5"/>
  <c r="AW68" i="5"/>
  <c r="AV68" i="5"/>
  <c r="AU68" i="5"/>
  <c r="AT68" i="5"/>
  <c r="AS68" i="5"/>
  <c r="AR68" i="5"/>
  <c r="AQ68" i="5"/>
  <c r="AP68" i="5"/>
  <c r="AO68" i="5"/>
  <c r="AM68" i="5"/>
  <c r="AL68" i="5"/>
  <c r="AK68" i="5"/>
  <c r="AJ68" i="5"/>
  <c r="AI68" i="5"/>
  <c r="AH68" i="5"/>
  <c r="AG68" i="5"/>
  <c r="AF68" i="5"/>
  <c r="AE68" i="5"/>
  <c r="AD68" i="5"/>
  <c r="AC68" i="5"/>
  <c r="AB68" i="5"/>
  <c r="AZ67" i="5"/>
  <c r="AY67" i="5"/>
  <c r="AX67" i="5"/>
  <c r="AW67" i="5"/>
  <c r="AV67" i="5"/>
  <c r="AU67" i="5"/>
  <c r="AT67" i="5"/>
  <c r="AS67" i="5"/>
  <c r="AR67" i="5"/>
  <c r="AQ67" i="5"/>
  <c r="AP67" i="5"/>
  <c r="AO67" i="5"/>
  <c r="AM67" i="5"/>
  <c r="AL67" i="5"/>
  <c r="AK67" i="5"/>
  <c r="AJ67" i="5"/>
  <c r="AI67" i="5"/>
  <c r="AH67" i="5"/>
  <c r="AG67" i="5"/>
  <c r="AF67" i="5"/>
  <c r="AE67" i="5"/>
  <c r="AD67" i="5"/>
  <c r="AC67" i="5"/>
  <c r="AB67" i="5"/>
  <c r="AZ66" i="5"/>
  <c r="AY66" i="5"/>
  <c r="AX66" i="5"/>
  <c r="AW66" i="5"/>
  <c r="AV66" i="5"/>
  <c r="AU66" i="5"/>
  <c r="AT66" i="5"/>
  <c r="AS66" i="5"/>
  <c r="AR66" i="5"/>
  <c r="AQ66" i="5"/>
  <c r="AP66" i="5"/>
  <c r="AO66" i="5"/>
  <c r="AM66" i="5"/>
  <c r="AL66" i="5"/>
  <c r="AK66" i="5"/>
  <c r="AJ66" i="5"/>
  <c r="AI66" i="5"/>
  <c r="AH66" i="5"/>
  <c r="AG66" i="5"/>
  <c r="AF66" i="5"/>
  <c r="AE66" i="5"/>
  <c r="AD66" i="5"/>
  <c r="AC66" i="5"/>
  <c r="AB66" i="5"/>
  <c r="AZ65" i="5"/>
  <c r="AY65" i="5"/>
  <c r="AX65" i="5"/>
  <c r="AW65" i="5"/>
  <c r="AV65" i="5"/>
  <c r="AU65" i="5"/>
  <c r="AT65" i="5"/>
  <c r="AS65" i="5"/>
  <c r="AR65" i="5"/>
  <c r="AQ65" i="5"/>
  <c r="AP65" i="5"/>
  <c r="AO65" i="5"/>
  <c r="AM65" i="5"/>
  <c r="AL65" i="5"/>
  <c r="AK65" i="5"/>
  <c r="AJ65" i="5"/>
  <c r="AI65" i="5"/>
  <c r="AH65" i="5"/>
  <c r="AG65" i="5"/>
  <c r="AF65" i="5"/>
  <c r="AE65" i="5"/>
  <c r="AD65" i="5"/>
  <c r="AC65" i="5"/>
  <c r="AB65" i="5"/>
  <c r="AZ64" i="5"/>
  <c r="AY64" i="5"/>
  <c r="AX64" i="5"/>
  <c r="AW64" i="5"/>
  <c r="AV64" i="5"/>
  <c r="AU64" i="5"/>
  <c r="AT64" i="5"/>
  <c r="AS64" i="5"/>
  <c r="AR64" i="5"/>
  <c r="AQ64" i="5"/>
  <c r="AP64" i="5"/>
  <c r="AO64" i="5"/>
  <c r="AM64" i="5"/>
  <c r="AL64" i="5"/>
  <c r="AK64" i="5"/>
  <c r="AJ64" i="5"/>
  <c r="AI64" i="5"/>
  <c r="AH64" i="5"/>
  <c r="AG64" i="5"/>
  <c r="AF64" i="5"/>
  <c r="AE64" i="5"/>
  <c r="AD64" i="5"/>
  <c r="AC64" i="5"/>
  <c r="AB64" i="5"/>
  <c r="AZ63" i="5"/>
  <c r="AY63" i="5"/>
  <c r="AX63" i="5"/>
  <c r="AW63" i="5"/>
  <c r="AV63" i="5"/>
  <c r="AU63" i="5"/>
  <c r="AT63" i="5"/>
  <c r="AS63" i="5"/>
  <c r="AR63" i="5"/>
  <c r="AQ63" i="5"/>
  <c r="AP63" i="5"/>
  <c r="AO63" i="5"/>
  <c r="AM63" i="5"/>
  <c r="AL63" i="5"/>
  <c r="AK63" i="5"/>
  <c r="AJ63" i="5"/>
  <c r="AI63" i="5"/>
  <c r="AH63" i="5"/>
  <c r="AG63" i="5"/>
  <c r="AF63" i="5"/>
  <c r="AE63" i="5"/>
  <c r="AD63" i="5"/>
  <c r="AC63" i="5"/>
  <c r="AB63" i="5"/>
  <c r="AZ62" i="5"/>
  <c r="AY62" i="5"/>
  <c r="AX62" i="5"/>
  <c r="AW62" i="5"/>
  <c r="AV62" i="5"/>
  <c r="AU62" i="5"/>
  <c r="AT62" i="5"/>
  <c r="AS62" i="5"/>
  <c r="AR62" i="5"/>
  <c r="AQ62" i="5"/>
  <c r="AP62" i="5"/>
  <c r="AO62" i="5"/>
  <c r="AM62" i="5"/>
  <c r="AL62" i="5"/>
  <c r="AK62" i="5"/>
  <c r="AJ62" i="5"/>
  <c r="AI62" i="5"/>
  <c r="AH62" i="5"/>
  <c r="AG62" i="5"/>
  <c r="AF62" i="5"/>
  <c r="AE62" i="5"/>
  <c r="AD62" i="5"/>
  <c r="AC62" i="5"/>
  <c r="AB62" i="5"/>
  <c r="AZ61" i="5"/>
  <c r="AY61" i="5"/>
  <c r="AX61" i="5"/>
  <c r="AW61" i="5"/>
  <c r="AV61" i="5"/>
  <c r="AU61" i="5"/>
  <c r="AT61" i="5"/>
  <c r="AS61" i="5"/>
  <c r="AR61" i="5"/>
  <c r="AQ61" i="5"/>
  <c r="AP61" i="5"/>
  <c r="AO61" i="5"/>
  <c r="AM61" i="5"/>
  <c r="AL61" i="5"/>
  <c r="AK61" i="5"/>
  <c r="AJ61" i="5"/>
  <c r="AI61" i="5"/>
  <c r="AH61" i="5"/>
  <c r="AG61" i="5"/>
  <c r="AF61" i="5"/>
  <c r="AE61" i="5"/>
  <c r="AD61" i="5"/>
  <c r="AC61" i="5"/>
  <c r="AB61" i="5"/>
  <c r="AZ60" i="5"/>
  <c r="AY60" i="5"/>
  <c r="AX60" i="5"/>
  <c r="AW60" i="5"/>
  <c r="AV60" i="5"/>
  <c r="AU60" i="5"/>
  <c r="AT60" i="5"/>
  <c r="AS60" i="5"/>
  <c r="AR60" i="5"/>
  <c r="AQ60" i="5"/>
  <c r="AP60" i="5"/>
  <c r="AO60" i="5"/>
  <c r="AM60" i="5"/>
  <c r="AL60" i="5"/>
  <c r="AK60" i="5"/>
  <c r="AJ60" i="5"/>
  <c r="AI60" i="5"/>
  <c r="AH60" i="5"/>
  <c r="AG60" i="5"/>
  <c r="AF60" i="5"/>
  <c r="AE60" i="5"/>
  <c r="AD60" i="5"/>
  <c r="AC60" i="5"/>
  <c r="AB60" i="5"/>
  <c r="AZ59" i="5"/>
  <c r="AY59" i="5"/>
  <c r="AX59" i="5"/>
  <c r="AW59" i="5"/>
  <c r="AV59" i="5"/>
  <c r="AU59" i="5"/>
  <c r="AT59" i="5"/>
  <c r="AS59" i="5"/>
  <c r="AR59" i="5"/>
  <c r="AQ59" i="5"/>
  <c r="AP59" i="5"/>
  <c r="AO59" i="5"/>
  <c r="AM59" i="5"/>
  <c r="AL59" i="5"/>
  <c r="AK59" i="5"/>
  <c r="AJ59" i="5"/>
  <c r="AI59" i="5"/>
  <c r="AH59" i="5"/>
  <c r="AG59" i="5"/>
  <c r="AF59" i="5"/>
  <c r="AE59" i="5"/>
  <c r="AD59" i="5"/>
  <c r="AC59" i="5"/>
  <c r="AB59" i="5"/>
  <c r="AZ58" i="5"/>
  <c r="AY58" i="5"/>
  <c r="AX58" i="5"/>
  <c r="AW58" i="5"/>
  <c r="AV58" i="5"/>
  <c r="AU58" i="5"/>
  <c r="AT58" i="5"/>
  <c r="AS58" i="5"/>
  <c r="AR58" i="5"/>
  <c r="AQ58" i="5"/>
  <c r="AP58" i="5"/>
  <c r="AO58" i="5"/>
  <c r="AM58" i="5"/>
  <c r="AL58" i="5"/>
  <c r="AK58" i="5"/>
  <c r="AJ58" i="5"/>
  <c r="AI58" i="5"/>
  <c r="AH58" i="5"/>
  <c r="AG58" i="5"/>
  <c r="AF58" i="5"/>
  <c r="AE58" i="5"/>
  <c r="AD58" i="5"/>
  <c r="AC58" i="5"/>
  <c r="AB58" i="5"/>
  <c r="AZ57" i="5"/>
  <c r="AY57" i="5"/>
  <c r="AX57" i="5"/>
  <c r="AW57" i="5"/>
  <c r="AV57" i="5"/>
  <c r="AU57" i="5"/>
  <c r="AT57" i="5"/>
  <c r="AS57" i="5"/>
  <c r="AR57" i="5"/>
  <c r="AQ57" i="5"/>
  <c r="AP57" i="5"/>
  <c r="AO57" i="5"/>
  <c r="AM57" i="5"/>
  <c r="AL57" i="5"/>
  <c r="AK57" i="5"/>
  <c r="AJ57" i="5"/>
  <c r="AI57" i="5"/>
  <c r="AH57" i="5"/>
  <c r="AG57" i="5"/>
  <c r="AF57" i="5"/>
  <c r="AE57" i="5"/>
  <c r="AD57" i="5"/>
  <c r="AC57" i="5"/>
  <c r="AB57" i="5"/>
  <c r="AZ56" i="5"/>
  <c r="AY56" i="5"/>
  <c r="AX56" i="5"/>
  <c r="AW56" i="5"/>
  <c r="AV56" i="5"/>
  <c r="AU56" i="5"/>
  <c r="AT56" i="5"/>
  <c r="AS56" i="5"/>
  <c r="AR56" i="5"/>
  <c r="AQ56" i="5"/>
  <c r="AP56" i="5"/>
  <c r="AO56" i="5"/>
  <c r="AM56" i="5"/>
  <c r="AL56" i="5"/>
  <c r="AK56" i="5"/>
  <c r="AJ56" i="5"/>
  <c r="AI56" i="5"/>
  <c r="AH56" i="5"/>
  <c r="AG56" i="5"/>
  <c r="AF56" i="5"/>
  <c r="AE56" i="5"/>
  <c r="AD56" i="5"/>
  <c r="AC56" i="5"/>
  <c r="AB56" i="5"/>
  <c r="AZ55" i="5"/>
  <c r="AY55" i="5"/>
  <c r="AX55" i="5"/>
  <c r="AW55" i="5"/>
  <c r="AV55" i="5"/>
  <c r="AU55" i="5"/>
  <c r="AT55" i="5"/>
  <c r="AS55" i="5"/>
  <c r="AR55" i="5"/>
  <c r="AQ55" i="5"/>
  <c r="AP55" i="5"/>
  <c r="AO55" i="5"/>
  <c r="AM55" i="5"/>
  <c r="AL55" i="5"/>
  <c r="AK55" i="5"/>
  <c r="AJ55" i="5"/>
  <c r="AI55" i="5"/>
  <c r="AH55" i="5"/>
  <c r="AG55" i="5"/>
  <c r="AF55" i="5"/>
  <c r="AE55" i="5"/>
  <c r="AD55" i="5"/>
  <c r="AC55" i="5"/>
  <c r="AB55" i="5"/>
  <c r="AZ54" i="5"/>
  <c r="AY54" i="5"/>
  <c r="AX54" i="5"/>
  <c r="AW54" i="5"/>
  <c r="AV54" i="5"/>
  <c r="AU54" i="5"/>
  <c r="AT54" i="5"/>
  <c r="AS54" i="5"/>
  <c r="AR54" i="5"/>
  <c r="AQ54" i="5"/>
  <c r="AP54" i="5"/>
  <c r="AO54" i="5"/>
  <c r="AM54" i="5"/>
  <c r="AL54" i="5"/>
  <c r="AK54" i="5"/>
  <c r="AJ54" i="5"/>
  <c r="AI54" i="5"/>
  <c r="AH54" i="5"/>
  <c r="AG54" i="5"/>
  <c r="AF54" i="5"/>
  <c r="AE54" i="5"/>
  <c r="AD54" i="5"/>
  <c r="AC54" i="5"/>
  <c r="AB54" i="5"/>
  <c r="AZ53" i="5"/>
  <c r="AY53" i="5"/>
  <c r="AX53" i="5"/>
  <c r="AW53" i="5"/>
  <c r="AV53" i="5"/>
  <c r="AU53" i="5"/>
  <c r="AT53" i="5"/>
  <c r="AS53" i="5"/>
  <c r="AR53" i="5"/>
  <c r="AQ53" i="5"/>
  <c r="AP53" i="5"/>
  <c r="AO53" i="5"/>
  <c r="AM53" i="5"/>
  <c r="AL53" i="5"/>
  <c r="AK53" i="5"/>
  <c r="AJ53" i="5"/>
  <c r="AI53" i="5"/>
  <c r="AH53" i="5"/>
  <c r="AG53" i="5"/>
  <c r="AF53" i="5"/>
  <c r="AE53" i="5"/>
  <c r="AD53" i="5"/>
  <c r="AC53" i="5"/>
  <c r="AB53" i="5"/>
  <c r="AZ52" i="5"/>
  <c r="AY52" i="5"/>
  <c r="AX52" i="5"/>
  <c r="AW52" i="5"/>
  <c r="AV52" i="5"/>
  <c r="AU52" i="5"/>
  <c r="AT52" i="5"/>
  <c r="AS52" i="5"/>
  <c r="AR52" i="5"/>
  <c r="AQ52" i="5"/>
  <c r="AP52" i="5"/>
  <c r="AO52" i="5"/>
  <c r="AM52" i="5"/>
  <c r="AL52" i="5"/>
  <c r="AK52" i="5"/>
  <c r="AJ52" i="5"/>
  <c r="AI52" i="5"/>
  <c r="AH52" i="5"/>
  <c r="AG52" i="5"/>
  <c r="AF52" i="5"/>
  <c r="AE52" i="5"/>
  <c r="AD52" i="5"/>
  <c r="AC52" i="5"/>
  <c r="AB52" i="5"/>
  <c r="AZ51" i="5"/>
  <c r="AY51" i="5"/>
  <c r="AX51" i="5"/>
  <c r="AW51" i="5"/>
  <c r="AV51" i="5"/>
  <c r="AU51" i="5"/>
  <c r="AT51" i="5"/>
  <c r="AS51" i="5"/>
  <c r="AR51" i="5"/>
  <c r="AQ51" i="5"/>
  <c r="AP51" i="5"/>
  <c r="AO51" i="5"/>
  <c r="AM51" i="5"/>
  <c r="AL51" i="5"/>
  <c r="AK51" i="5"/>
  <c r="AJ51" i="5"/>
  <c r="AI51" i="5"/>
  <c r="AH51" i="5"/>
  <c r="AG51" i="5"/>
  <c r="AF51" i="5"/>
  <c r="AE51" i="5"/>
  <c r="AD51" i="5"/>
  <c r="AC51" i="5"/>
  <c r="AB51" i="5"/>
  <c r="AZ50" i="5"/>
  <c r="AY50" i="5"/>
  <c r="AX50" i="5"/>
  <c r="AW50" i="5"/>
  <c r="AV50" i="5"/>
  <c r="AU50" i="5"/>
  <c r="AT50" i="5"/>
  <c r="AS50" i="5"/>
  <c r="AR50" i="5"/>
  <c r="AQ50" i="5"/>
  <c r="AP50" i="5"/>
  <c r="AO50" i="5"/>
  <c r="AM50" i="5"/>
  <c r="AL50" i="5"/>
  <c r="AK50" i="5"/>
  <c r="AJ50" i="5"/>
  <c r="AI50" i="5"/>
  <c r="AH50" i="5"/>
  <c r="AG50" i="5"/>
  <c r="AF50" i="5"/>
  <c r="AE50" i="5"/>
  <c r="AD50" i="5"/>
  <c r="AC50" i="5"/>
  <c r="AB50" i="5"/>
  <c r="AZ49" i="5"/>
  <c r="AY49" i="5"/>
  <c r="AX49" i="5"/>
  <c r="AW49" i="5"/>
  <c r="AV49" i="5"/>
  <c r="AU49" i="5"/>
  <c r="AT49" i="5"/>
  <c r="AS49" i="5"/>
  <c r="AR49" i="5"/>
  <c r="AQ49" i="5"/>
  <c r="AP49" i="5"/>
  <c r="AO49" i="5"/>
  <c r="AM49" i="5"/>
  <c r="AL49" i="5"/>
  <c r="AK49" i="5"/>
  <c r="AJ49" i="5"/>
  <c r="AI49" i="5"/>
  <c r="AH49" i="5"/>
  <c r="AG49" i="5"/>
  <c r="AF49" i="5"/>
  <c r="AE49" i="5"/>
  <c r="AD49" i="5"/>
  <c r="AC49" i="5"/>
  <c r="AB49" i="5"/>
  <c r="AZ48" i="5"/>
  <c r="AY48" i="5"/>
  <c r="AX48" i="5"/>
  <c r="AW48" i="5"/>
  <c r="AV48" i="5"/>
  <c r="AU48" i="5"/>
  <c r="AT48" i="5"/>
  <c r="AS48" i="5"/>
  <c r="AR48" i="5"/>
  <c r="AQ48" i="5"/>
  <c r="AP48" i="5"/>
  <c r="AO48" i="5"/>
  <c r="AM48" i="5"/>
  <c r="AL48" i="5"/>
  <c r="AK48" i="5"/>
  <c r="AJ48" i="5"/>
  <c r="AI48" i="5"/>
  <c r="AH48" i="5"/>
  <c r="AG48" i="5"/>
  <c r="AF48" i="5"/>
  <c r="AE48" i="5"/>
  <c r="AD48" i="5"/>
  <c r="AC48" i="5"/>
  <c r="AB48" i="5"/>
  <c r="AZ47" i="5"/>
  <c r="AY47" i="5"/>
  <c r="AX47" i="5"/>
  <c r="AW47" i="5"/>
  <c r="AV47" i="5"/>
  <c r="AU47" i="5"/>
  <c r="AT47" i="5"/>
  <c r="AS47" i="5"/>
  <c r="AR47" i="5"/>
  <c r="AQ47" i="5"/>
  <c r="AP47" i="5"/>
  <c r="AO47" i="5"/>
  <c r="AM47" i="5"/>
  <c r="AL47" i="5"/>
  <c r="AK47" i="5"/>
  <c r="AJ47" i="5"/>
  <c r="AI47" i="5"/>
  <c r="AH47" i="5"/>
  <c r="AG47" i="5"/>
  <c r="AF47" i="5"/>
  <c r="AE47" i="5"/>
  <c r="AD47" i="5"/>
  <c r="AC47" i="5"/>
  <c r="AB47" i="5"/>
  <c r="AZ46" i="5"/>
  <c r="AY46" i="5"/>
  <c r="AX46" i="5"/>
  <c r="AW46" i="5"/>
  <c r="AV46" i="5"/>
  <c r="AU46" i="5"/>
  <c r="AT46" i="5"/>
  <c r="AS46" i="5"/>
  <c r="AR46" i="5"/>
  <c r="AQ46" i="5"/>
  <c r="AP46" i="5"/>
  <c r="AO46" i="5"/>
  <c r="AM46" i="5"/>
  <c r="AL46" i="5"/>
  <c r="AK46" i="5"/>
  <c r="AJ46" i="5"/>
  <c r="AI46" i="5"/>
  <c r="AH46" i="5"/>
  <c r="AG46" i="5"/>
  <c r="AF46" i="5"/>
  <c r="AE46" i="5"/>
  <c r="AD46" i="5"/>
  <c r="AC46" i="5"/>
  <c r="AB46" i="5"/>
  <c r="AZ45" i="5"/>
  <c r="AY45" i="5"/>
  <c r="AX45" i="5"/>
  <c r="AW45" i="5"/>
  <c r="AV45" i="5"/>
  <c r="AU45" i="5"/>
  <c r="AT45" i="5"/>
  <c r="AS45" i="5"/>
  <c r="AR45" i="5"/>
  <c r="AQ45" i="5"/>
  <c r="AP45" i="5"/>
  <c r="AO45" i="5"/>
  <c r="AM45" i="5"/>
  <c r="AL45" i="5"/>
  <c r="AK45" i="5"/>
  <c r="AJ45" i="5"/>
  <c r="AI45" i="5"/>
  <c r="AH45" i="5"/>
  <c r="AG45" i="5"/>
  <c r="AF45" i="5"/>
  <c r="AE45" i="5"/>
  <c r="AD45" i="5"/>
  <c r="AC45" i="5"/>
  <c r="AB45" i="5"/>
  <c r="AZ44" i="5"/>
  <c r="AY44" i="5"/>
  <c r="AX44" i="5"/>
  <c r="AW44" i="5"/>
  <c r="AV44" i="5"/>
  <c r="AU44" i="5"/>
  <c r="AT44" i="5"/>
  <c r="AS44" i="5"/>
  <c r="AR44" i="5"/>
  <c r="AQ44" i="5"/>
  <c r="AP44" i="5"/>
  <c r="AO44" i="5"/>
  <c r="AM44" i="5"/>
  <c r="AL44" i="5"/>
  <c r="AK44" i="5"/>
  <c r="AJ44" i="5"/>
  <c r="AI44" i="5"/>
  <c r="AH44" i="5"/>
  <c r="AG44" i="5"/>
  <c r="AF44" i="5"/>
  <c r="AE44" i="5"/>
  <c r="AD44" i="5"/>
  <c r="AC44" i="5"/>
  <c r="AB44" i="5"/>
  <c r="AZ43" i="5"/>
  <c r="AY43" i="5"/>
  <c r="AX43" i="5"/>
  <c r="AW43" i="5"/>
  <c r="AV43" i="5"/>
  <c r="AU43" i="5"/>
  <c r="AT43" i="5"/>
  <c r="AS43" i="5"/>
  <c r="AR43" i="5"/>
  <c r="AQ43" i="5"/>
  <c r="AP43" i="5"/>
  <c r="AO43" i="5"/>
  <c r="AM43" i="5"/>
  <c r="AL43" i="5"/>
  <c r="AK43" i="5"/>
  <c r="AJ43" i="5"/>
  <c r="AI43" i="5"/>
  <c r="AH43" i="5"/>
  <c r="AG43" i="5"/>
  <c r="AF43" i="5"/>
  <c r="AE43" i="5"/>
  <c r="AD43" i="5"/>
  <c r="AC43" i="5"/>
  <c r="AB43" i="5"/>
  <c r="AZ42" i="5"/>
  <c r="AY42" i="5"/>
  <c r="AX42" i="5"/>
  <c r="AW42" i="5"/>
  <c r="AV42" i="5"/>
  <c r="AU42" i="5"/>
  <c r="AT42" i="5"/>
  <c r="AS42" i="5"/>
  <c r="AR42" i="5"/>
  <c r="AQ42" i="5"/>
  <c r="AP42" i="5"/>
  <c r="AO42" i="5"/>
  <c r="AM42" i="5"/>
  <c r="AL42" i="5"/>
  <c r="AK42" i="5"/>
  <c r="AJ42" i="5"/>
  <c r="AI42" i="5"/>
  <c r="AH42" i="5"/>
  <c r="AG42" i="5"/>
  <c r="AF42" i="5"/>
  <c r="AE42" i="5"/>
  <c r="AD42" i="5"/>
  <c r="AC42" i="5"/>
  <c r="AB42" i="5"/>
  <c r="AZ41" i="5"/>
  <c r="AY41" i="5"/>
  <c r="AX41" i="5"/>
  <c r="AW41" i="5"/>
  <c r="AV41" i="5"/>
  <c r="AU41" i="5"/>
  <c r="AT41" i="5"/>
  <c r="AS41" i="5"/>
  <c r="AR41" i="5"/>
  <c r="AQ41" i="5"/>
  <c r="AP41" i="5"/>
  <c r="AO41" i="5"/>
  <c r="AM41" i="5"/>
  <c r="AL41" i="5"/>
  <c r="AK41" i="5"/>
  <c r="AJ41" i="5"/>
  <c r="AI41" i="5"/>
  <c r="AH41" i="5"/>
  <c r="AG41" i="5"/>
  <c r="AF41" i="5"/>
  <c r="AE41" i="5"/>
  <c r="AD41" i="5"/>
  <c r="AC41" i="5"/>
  <c r="AB41" i="5"/>
  <c r="AZ40" i="5"/>
  <c r="AY40" i="5"/>
  <c r="AX40" i="5"/>
  <c r="AW40" i="5"/>
  <c r="AV40" i="5"/>
  <c r="AU40" i="5"/>
  <c r="AT40" i="5"/>
  <c r="AS40" i="5"/>
  <c r="AR40" i="5"/>
  <c r="AQ40" i="5"/>
  <c r="AP40" i="5"/>
  <c r="AO40" i="5"/>
  <c r="AM40" i="5"/>
  <c r="AL40" i="5"/>
  <c r="AK40" i="5"/>
  <c r="AJ40" i="5"/>
  <c r="AI40" i="5"/>
  <c r="AH40" i="5"/>
  <c r="AG40" i="5"/>
  <c r="AF40" i="5"/>
  <c r="AE40" i="5"/>
  <c r="AD40" i="5"/>
  <c r="AC40" i="5"/>
  <c r="AB40" i="5"/>
  <c r="AZ39" i="5"/>
  <c r="AY39" i="5"/>
  <c r="AX39" i="5"/>
  <c r="AW39" i="5"/>
  <c r="AV39" i="5"/>
  <c r="AU39" i="5"/>
  <c r="AT39" i="5"/>
  <c r="AS39" i="5"/>
  <c r="AR39" i="5"/>
  <c r="AQ39" i="5"/>
  <c r="AP39" i="5"/>
  <c r="AO39" i="5"/>
  <c r="AM39" i="5"/>
  <c r="AL39" i="5"/>
  <c r="AK39" i="5"/>
  <c r="AJ39" i="5"/>
  <c r="AI39" i="5"/>
  <c r="AH39" i="5"/>
  <c r="AG39" i="5"/>
  <c r="AF39" i="5"/>
  <c r="AE39" i="5"/>
  <c r="AD39" i="5"/>
  <c r="AC39" i="5"/>
  <c r="AB39" i="5"/>
  <c r="AZ38" i="5"/>
  <c r="AY38" i="5"/>
  <c r="AX38" i="5"/>
  <c r="AW38" i="5"/>
  <c r="AV38" i="5"/>
  <c r="AU38" i="5"/>
  <c r="AT38" i="5"/>
  <c r="AS38" i="5"/>
  <c r="AR38" i="5"/>
  <c r="AQ38" i="5"/>
  <c r="AP38" i="5"/>
  <c r="AO38" i="5"/>
  <c r="AM38" i="5"/>
  <c r="AL38" i="5"/>
  <c r="AK38" i="5"/>
  <c r="AJ38" i="5"/>
  <c r="AI38" i="5"/>
  <c r="AH38" i="5"/>
  <c r="AG38" i="5"/>
  <c r="AF38" i="5"/>
  <c r="AE38" i="5"/>
  <c r="AD38" i="5"/>
  <c r="AC38" i="5"/>
  <c r="AB38" i="5"/>
  <c r="AZ37" i="5"/>
  <c r="AY37" i="5"/>
  <c r="AX37" i="5"/>
  <c r="AW37" i="5"/>
  <c r="AV37" i="5"/>
  <c r="AU37" i="5"/>
  <c r="AT37" i="5"/>
  <c r="AS37" i="5"/>
  <c r="AR37" i="5"/>
  <c r="AQ37" i="5"/>
  <c r="AP37" i="5"/>
  <c r="AO37" i="5"/>
  <c r="AM37" i="5"/>
  <c r="AL37" i="5"/>
  <c r="AK37" i="5"/>
  <c r="AJ37" i="5"/>
  <c r="AI37" i="5"/>
  <c r="AH37" i="5"/>
  <c r="AG37" i="5"/>
  <c r="AF37" i="5"/>
  <c r="AE37" i="5"/>
  <c r="AD37" i="5"/>
  <c r="AC37" i="5"/>
  <c r="AB37" i="5"/>
  <c r="AZ36" i="5"/>
  <c r="AY36" i="5"/>
  <c r="AX36" i="5"/>
  <c r="AW36" i="5"/>
  <c r="AV36" i="5"/>
  <c r="AU36" i="5"/>
  <c r="AT36" i="5"/>
  <c r="AS36" i="5"/>
  <c r="AR36" i="5"/>
  <c r="AQ36" i="5"/>
  <c r="AP36" i="5"/>
  <c r="AO36" i="5"/>
  <c r="AM36" i="5"/>
  <c r="AL36" i="5"/>
  <c r="AK36" i="5"/>
  <c r="AJ36" i="5"/>
  <c r="AI36" i="5"/>
  <c r="AH36" i="5"/>
  <c r="AG36" i="5"/>
  <c r="AF36" i="5"/>
  <c r="AE36" i="5"/>
  <c r="AD36" i="5"/>
  <c r="AC36" i="5"/>
  <c r="AB36" i="5"/>
  <c r="AZ35" i="5"/>
  <c r="AY35" i="5"/>
  <c r="AX35" i="5"/>
  <c r="AW35" i="5"/>
  <c r="AV35" i="5"/>
  <c r="AU35" i="5"/>
  <c r="AT35" i="5"/>
  <c r="AS35" i="5"/>
  <c r="AR35" i="5"/>
  <c r="AQ35" i="5"/>
  <c r="AP35" i="5"/>
  <c r="AO35" i="5"/>
  <c r="AM35" i="5"/>
  <c r="AL35" i="5"/>
  <c r="AK35" i="5"/>
  <c r="AJ35" i="5"/>
  <c r="AI35" i="5"/>
  <c r="AH35" i="5"/>
  <c r="AG35" i="5"/>
  <c r="AF35" i="5"/>
  <c r="AE35" i="5"/>
  <c r="AD35" i="5"/>
  <c r="AC35" i="5"/>
  <c r="AB35" i="5"/>
  <c r="AZ34" i="5"/>
  <c r="AY34" i="5"/>
  <c r="AX34" i="5"/>
  <c r="AW34" i="5"/>
  <c r="AV34" i="5"/>
  <c r="AU34" i="5"/>
  <c r="AT34" i="5"/>
  <c r="AS34" i="5"/>
  <c r="AR34" i="5"/>
  <c r="AQ34" i="5"/>
  <c r="AP34" i="5"/>
  <c r="AO34" i="5"/>
  <c r="AM34" i="5"/>
  <c r="AL34" i="5"/>
  <c r="AK34" i="5"/>
  <c r="AJ34" i="5"/>
  <c r="AI34" i="5"/>
  <c r="AH34" i="5"/>
  <c r="AG34" i="5"/>
  <c r="AF34" i="5"/>
  <c r="AE34" i="5"/>
  <c r="AD34" i="5"/>
  <c r="AC34" i="5"/>
  <c r="AB34" i="5"/>
  <c r="AZ33" i="5"/>
  <c r="AY33" i="5"/>
  <c r="AX33" i="5"/>
  <c r="AW33" i="5"/>
  <c r="AV33" i="5"/>
  <c r="AU33" i="5"/>
  <c r="AT33" i="5"/>
  <c r="AS33" i="5"/>
  <c r="AR33" i="5"/>
  <c r="AQ33" i="5"/>
  <c r="AP33" i="5"/>
  <c r="AO33" i="5"/>
  <c r="AM33" i="5"/>
  <c r="AL33" i="5"/>
  <c r="AK33" i="5"/>
  <c r="AJ33" i="5"/>
  <c r="AI33" i="5"/>
  <c r="AH33" i="5"/>
  <c r="AG33" i="5"/>
  <c r="AF33" i="5"/>
  <c r="AE33" i="5"/>
  <c r="AD33" i="5"/>
  <c r="AC33" i="5"/>
  <c r="AB33" i="5"/>
  <c r="AZ32" i="5"/>
  <c r="AY32" i="5"/>
  <c r="AX32" i="5"/>
  <c r="AW32" i="5"/>
  <c r="AV32" i="5"/>
  <c r="AU32" i="5"/>
  <c r="AT32" i="5"/>
  <c r="AS32" i="5"/>
  <c r="AR32" i="5"/>
  <c r="AQ32" i="5"/>
  <c r="AP32" i="5"/>
  <c r="AO32" i="5"/>
  <c r="AM32" i="5"/>
  <c r="AL32" i="5"/>
  <c r="AK32" i="5"/>
  <c r="AJ32" i="5"/>
  <c r="AI32" i="5"/>
  <c r="AH32" i="5"/>
  <c r="AG32" i="5"/>
  <c r="AF32" i="5"/>
  <c r="AE32" i="5"/>
  <c r="AD32" i="5"/>
  <c r="AC32" i="5"/>
  <c r="AB32" i="5"/>
  <c r="AZ31" i="5"/>
  <c r="AY31" i="5"/>
  <c r="AX31" i="5"/>
  <c r="AW31" i="5"/>
  <c r="AV31" i="5"/>
  <c r="AU31" i="5"/>
  <c r="AT31" i="5"/>
  <c r="AS31" i="5"/>
  <c r="AR31" i="5"/>
  <c r="AQ31" i="5"/>
  <c r="AP31" i="5"/>
  <c r="AO31" i="5"/>
  <c r="AM31" i="5"/>
  <c r="AL31" i="5"/>
  <c r="AK31" i="5"/>
  <c r="AJ31" i="5"/>
  <c r="AI31" i="5"/>
  <c r="AH31" i="5"/>
  <c r="AG31" i="5"/>
  <c r="AF31" i="5"/>
  <c r="AE31" i="5"/>
  <c r="AD31" i="5"/>
  <c r="AC31" i="5"/>
  <c r="AB31" i="5"/>
  <c r="AZ30" i="5"/>
  <c r="AY30" i="5"/>
  <c r="AX30" i="5"/>
  <c r="AW30" i="5"/>
  <c r="AV30" i="5"/>
  <c r="AU30" i="5"/>
  <c r="AT30" i="5"/>
  <c r="AS30" i="5"/>
  <c r="AR30" i="5"/>
  <c r="AQ30" i="5"/>
  <c r="AP30" i="5"/>
  <c r="AO30" i="5"/>
  <c r="AM30" i="5"/>
  <c r="AL30" i="5"/>
  <c r="AK30" i="5"/>
  <c r="AJ30" i="5"/>
  <c r="AI30" i="5"/>
  <c r="AH30" i="5"/>
  <c r="AG30" i="5"/>
  <c r="AF30" i="5"/>
  <c r="AE30" i="5"/>
  <c r="AD30" i="5"/>
  <c r="AC30" i="5"/>
  <c r="AB30" i="5"/>
  <c r="AZ29" i="5"/>
  <c r="AY29" i="5"/>
  <c r="AX29" i="5"/>
  <c r="AW29" i="5"/>
  <c r="AV29" i="5"/>
  <c r="AU29" i="5"/>
  <c r="AT29" i="5"/>
  <c r="AS29" i="5"/>
  <c r="AR29" i="5"/>
  <c r="AQ29" i="5"/>
  <c r="AP29" i="5"/>
  <c r="AO29" i="5"/>
  <c r="AM29" i="5"/>
  <c r="AL29" i="5"/>
  <c r="AK29" i="5"/>
  <c r="AJ29" i="5"/>
  <c r="AI29" i="5"/>
  <c r="AH29" i="5"/>
  <c r="AG29" i="5"/>
  <c r="AF29" i="5"/>
  <c r="AE29" i="5"/>
  <c r="AD29" i="5"/>
  <c r="AC29" i="5"/>
  <c r="AB29" i="5"/>
  <c r="AZ28" i="5"/>
  <c r="AY28" i="5"/>
  <c r="AX28" i="5"/>
  <c r="AW28" i="5"/>
  <c r="AV28" i="5"/>
  <c r="AU28" i="5"/>
  <c r="AT28" i="5"/>
  <c r="AS28" i="5"/>
  <c r="AR28" i="5"/>
  <c r="AQ28" i="5"/>
  <c r="AP28" i="5"/>
  <c r="AO28" i="5"/>
  <c r="AM28" i="5"/>
  <c r="AL28" i="5"/>
  <c r="AK28" i="5"/>
  <c r="AJ28" i="5"/>
  <c r="AI28" i="5"/>
  <c r="AH28" i="5"/>
  <c r="AG28" i="5"/>
  <c r="AF28" i="5"/>
  <c r="AE28" i="5"/>
  <c r="AD28" i="5"/>
  <c r="AC28" i="5"/>
  <c r="AB28" i="5"/>
  <c r="AZ27" i="5"/>
  <c r="AY27" i="5"/>
  <c r="AX27" i="5"/>
  <c r="AW27" i="5"/>
  <c r="AV27" i="5"/>
  <c r="AU27" i="5"/>
  <c r="AT27" i="5"/>
  <c r="AS27" i="5"/>
  <c r="AR27" i="5"/>
  <c r="AQ27" i="5"/>
  <c r="AP27" i="5"/>
  <c r="AO27" i="5"/>
  <c r="AM27" i="5"/>
  <c r="AL27" i="5"/>
  <c r="AK27" i="5"/>
  <c r="AJ27" i="5"/>
  <c r="AI27" i="5"/>
  <c r="AH27" i="5"/>
  <c r="AG27" i="5"/>
  <c r="AF27" i="5"/>
  <c r="AE27" i="5"/>
  <c r="AD27" i="5"/>
  <c r="AC27" i="5"/>
  <c r="AB27" i="5"/>
  <c r="AZ26" i="5"/>
  <c r="AY26" i="5"/>
  <c r="AX26" i="5"/>
  <c r="AW26" i="5"/>
  <c r="AV26" i="5"/>
  <c r="AU26" i="5"/>
  <c r="AT26" i="5"/>
  <c r="AS26" i="5"/>
  <c r="AR26" i="5"/>
  <c r="AQ26" i="5"/>
  <c r="AP26" i="5"/>
  <c r="AO26" i="5"/>
  <c r="AM26" i="5"/>
  <c r="AL26" i="5"/>
  <c r="AK26" i="5"/>
  <c r="AJ26" i="5"/>
  <c r="AI26" i="5"/>
  <c r="AH26" i="5"/>
  <c r="AG26" i="5"/>
  <c r="AF26" i="5"/>
  <c r="AE26" i="5"/>
  <c r="AD26" i="5"/>
  <c r="AC26" i="5"/>
  <c r="AB26" i="5"/>
  <c r="AZ25" i="5"/>
  <c r="AY25" i="5"/>
  <c r="AX25" i="5"/>
  <c r="AW25" i="5"/>
  <c r="AV25" i="5"/>
  <c r="AU25" i="5"/>
  <c r="AT25" i="5"/>
  <c r="AS25" i="5"/>
  <c r="AR25" i="5"/>
  <c r="AQ25" i="5"/>
  <c r="AP25" i="5"/>
  <c r="AO25" i="5"/>
  <c r="AM25" i="5"/>
  <c r="AL25" i="5"/>
  <c r="AK25" i="5"/>
  <c r="AJ25" i="5"/>
  <c r="AI25" i="5"/>
  <c r="AH25" i="5"/>
  <c r="AG25" i="5"/>
  <c r="AF25" i="5"/>
  <c r="AE25" i="5"/>
  <c r="AD25" i="5"/>
  <c r="AC25" i="5"/>
  <c r="AB25" i="5"/>
  <c r="AZ24" i="5"/>
  <c r="AY24" i="5"/>
  <c r="AX24" i="5"/>
  <c r="AW24" i="5"/>
  <c r="AV24" i="5"/>
  <c r="AU24" i="5"/>
  <c r="AT24" i="5"/>
  <c r="AS24" i="5"/>
  <c r="AR24" i="5"/>
  <c r="AQ24" i="5"/>
  <c r="AP24" i="5"/>
  <c r="AO24" i="5"/>
  <c r="AM24" i="5"/>
  <c r="AL24" i="5"/>
  <c r="AK24" i="5"/>
  <c r="AJ24" i="5"/>
  <c r="AI24" i="5"/>
  <c r="AH24" i="5"/>
  <c r="AG24" i="5"/>
  <c r="AF24" i="5"/>
  <c r="AE24" i="5"/>
  <c r="AD24" i="5"/>
  <c r="AC24" i="5"/>
  <c r="AB24" i="5"/>
  <c r="AZ23" i="5"/>
  <c r="AY23" i="5"/>
  <c r="AX23" i="5"/>
  <c r="AW23" i="5"/>
  <c r="AV23" i="5"/>
  <c r="AU23" i="5"/>
  <c r="AT23" i="5"/>
  <c r="AS23" i="5"/>
  <c r="AR23" i="5"/>
  <c r="AQ23" i="5"/>
  <c r="AP23" i="5"/>
  <c r="AO23" i="5"/>
  <c r="AM23" i="5"/>
  <c r="AL23" i="5"/>
  <c r="AK23" i="5"/>
  <c r="AJ23" i="5"/>
  <c r="AI23" i="5"/>
  <c r="AH23" i="5"/>
  <c r="AG23" i="5"/>
  <c r="AF23" i="5"/>
  <c r="AE23" i="5"/>
  <c r="AD23" i="5"/>
  <c r="AC23" i="5"/>
  <c r="AB23" i="5"/>
  <c r="AZ22" i="5"/>
  <c r="AY22" i="5"/>
  <c r="AX22" i="5"/>
  <c r="AW22" i="5"/>
  <c r="AV22" i="5"/>
  <c r="AU22" i="5"/>
  <c r="AT22" i="5"/>
  <c r="AS22" i="5"/>
  <c r="AR22" i="5"/>
  <c r="AQ22" i="5"/>
  <c r="AP22" i="5"/>
  <c r="AO22" i="5"/>
  <c r="AM22" i="5"/>
  <c r="AL22" i="5"/>
  <c r="AK22" i="5"/>
  <c r="AJ22" i="5"/>
  <c r="AI22" i="5"/>
  <c r="AH22" i="5"/>
  <c r="AG22" i="5"/>
  <c r="AF22" i="5"/>
  <c r="AE22" i="5"/>
  <c r="AD22" i="5"/>
  <c r="AC22" i="5"/>
  <c r="AB22" i="5"/>
  <c r="AZ21" i="5"/>
  <c r="AY21" i="5"/>
  <c r="AX21" i="5"/>
  <c r="AW21" i="5"/>
  <c r="AV21" i="5"/>
  <c r="AU21" i="5"/>
  <c r="AT21" i="5"/>
  <c r="AS21" i="5"/>
  <c r="AR21" i="5"/>
  <c r="AQ21" i="5"/>
  <c r="AP21" i="5"/>
  <c r="AO21" i="5"/>
  <c r="AM21" i="5"/>
  <c r="AL21" i="5"/>
  <c r="AK21" i="5"/>
  <c r="AJ21" i="5"/>
  <c r="AI21" i="5"/>
  <c r="AH21" i="5"/>
  <c r="AG21" i="5"/>
  <c r="AF21" i="5"/>
  <c r="AE21" i="5"/>
  <c r="AD21" i="5"/>
  <c r="AC21" i="5"/>
  <c r="AB21" i="5"/>
  <c r="AZ20" i="5"/>
  <c r="AY20" i="5"/>
  <c r="AX20" i="5"/>
  <c r="AW20" i="5"/>
  <c r="AV20" i="5"/>
  <c r="AU20" i="5"/>
  <c r="AT20" i="5"/>
  <c r="AS20" i="5"/>
  <c r="AR20" i="5"/>
  <c r="AQ20" i="5"/>
  <c r="AP20" i="5"/>
  <c r="AO20" i="5"/>
  <c r="AM20" i="5"/>
  <c r="AL20" i="5"/>
  <c r="AK20" i="5"/>
  <c r="AJ20" i="5"/>
  <c r="AI20" i="5"/>
  <c r="AH20" i="5"/>
  <c r="AG20" i="5"/>
  <c r="AF20" i="5"/>
  <c r="AE20" i="5"/>
  <c r="AD20" i="5"/>
  <c r="AC20" i="5"/>
  <c r="AB20" i="5"/>
  <c r="AZ19" i="5"/>
  <c r="AY19" i="5"/>
  <c r="AX19" i="5"/>
  <c r="AW19" i="5"/>
  <c r="AV19" i="5"/>
  <c r="AU19" i="5"/>
  <c r="AT19" i="5"/>
  <c r="AS19" i="5"/>
  <c r="AR19" i="5"/>
  <c r="AQ19" i="5"/>
  <c r="AP19" i="5"/>
  <c r="AO19" i="5"/>
  <c r="AM19" i="5"/>
  <c r="AL19" i="5"/>
  <c r="AK19" i="5"/>
  <c r="AJ19" i="5"/>
  <c r="AI19" i="5"/>
  <c r="AH19" i="5"/>
  <c r="AG19" i="5"/>
  <c r="AF19" i="5"/>
  <c r="AE19" i="5"/>
  <c r="AD19" i="5"/>
  <c r="AC19" i="5"/>
  <c r="AB19" i="5"/>
  <c r="AZ18" i="5"/>
  <c r="AY18" i="5"/>
  <c r="AX18" i="5"/>
  <c r="AW18" i="5"/>
  <c r="AV18" i="5"/>
  <c r="AU18" i="5"/>
  <c r="AT18" i="5"/>
  <c r="AS18" i="5"/>
  <c r="AR18" i="5"/>
  <c r="AQ18" i="5"/>
  <c r="AP18" i="5"/>
  <c r="AO18" i="5"/>
  <c r="AM18" i="5"/>
  <c r="AL18" i="5"/>
  <c r="AK18" i="5"/>
  <c r="AJ18" i="5"/>
  <c r="AI18" i="5"/>
  <c r="AH18" i="5"/>
  <c r="AG18" i="5"/>
  <c r="AF18" i="5"/>
  <c r="AE18" i="5"/>
  <c r="AD18" i="5"/>
  <c r="AC18" i="5"/>
  <c r="AB18" i="5"/>
  <c r="AZ17" i="5"/>
  <c r="AY17" i="5"/>
  <c r="AX17" i="5"/>
  <c r="AW17" i="5"/>
  <c r="AV17" i="5"/>
  <c r="AU17" i="5"/>
  <c r="AT17" i="5"/>
  <c r="AS17" i="5"/>
  <c r="AR17" i="5"/>
  <c r="AQ17" i="5"/>
  <c r="AP17" i="5"/>
  <c r="AO17" i="5"/>
  <c r="AM17" i="5"/>
  <c r="AL17" i="5"/>
  <c r="AK17" i="5"/>
  <c r="AJ17" i="5"/>
  <c r="AI17" i="5"/>
  <c r="AH17" i="5"/>
  <c r="AG17" i="5"/>
  <c r="AF17" i="5"/>
  <c r="AE17" i="5"/>
  <c r="AD17" i="5"/>
  <c r="AC17" i="5"/>
  <c r="AB17" i="5"/>
  <c r="AZ16" i="5"/>
  <c r="AY16" i="5"/>
  <c r="AX16" i="5"/>
  <c r="AW16" i="5"/>
  <c r="AV16" i="5"/>
  <c r="AU16" i="5"/>
  <c r="AT16" i="5"/>
  <c r="AS16" i="5"/>
  <c r="AR16" i="5"/>
  <c r="AQ16" i="5"/>
  <c r="AP16" i="5"/>
  <c r="AO16" i="5"/>
  <c r="AM16" i="5"/>
  <c r="AL16" i="5"/>
  <c r="AK16" i="5"/>
  <c r="AJ16" i="5"/>
  <c r="AI16" i="5"/>
  <c r="AH16" i="5"/>
  <c r="AG16" i="5"/>
  <c r="AF16" i="5"/>
  <c r="AE16" i="5"/>
  <c r="AD16" i="5"/>
  <c r="AC16" i="5"/>
  <c r="AB16" i="5"/>
  <c r="AZ10" i="5"/>
  <c r="AZ11" i="5"/>
  <c r="AZ12" i="5"/>
  <c r="AZ13" i="5"/>
  <c r="AZ14" i="5"/>
  <c r="AZ15" i="5"/>
  <c r="BM10" i="5"/>
  <c r="BM11" i="5"/>
  <c r="BM12" i="5"/>
  <c r="BM13" i="5"/>
  <c r="BM14" i="5"/>
  <c r="BM15" i="5"/>
  <c r="AY10" i="5"/>
  <c r="AY11" i="5"/>
  <c r="AY12" i="5"/>
  <c r="AY13" i="5"/>
  <c r="AY14" i="5"/>
  <c r="AY15" i="5"/>
  <c r="BL10" i="5"/>
  <c r="BL11" i="5"/>
  <c r="BL12" i="5"/>
  <c r="BL13" i="5"/>
  <c r="BL14" i="5"/>
  <c r="BL15" i="5"/>
  <c r="AX10" i="5"/>
  <c r="AX11" i="5"/>
  <c r="AX12" i="5"/>
  <c r="AX13" i="5"/>
  <c r="AX14" i="5"/>
  <c r="AX15" i="5"/>
  <c r="BK10" i="5"/>
  <c r="BK11" i="5"/>
  <c r="BK12" i="5"/>
  <c r="BK13" i="5"/>
  <c r="BK14" i="5"/>
  <c r="BK15" i="5"/>
  <c r="AW10" i="5"/>
  <c r="AW11" i="5"/>
  <c r="AW12" i="5"/>
  <c r="AW13" i="5"/>
  <c r="AW14" i="5"/>
  <c r="AW15" i="5"/>
  <c r="BJ10" i="5"/>
  <c r="BJ11" i="5"/>
  <c r="BJ12" i="5"/>
  <c r="BJ13" i="5"/>
  <c r="BJ14" i="5"/>
  <c r="BJ15" i="5"/>
  <c r="AV10" i="5"/>
  <c r="AV11" i="5"/>
  <c r="AV12" i="5"/>
  <c r="AV13" i="5"/>
  <c r="AV14" i="5"/>
  <c r="AV15" i="5"/>
  <c r="BI10" i="5"/>
  <c r="BI11" i="5"/>
  <c r="BI12" i="5"/>
  <c r="BI13" i="5"/>
  <c r="BI14" i="5"/>
  <c r="BI15" i="5"/>
  <c r="AU10" i="5"/>
  <c r="AU11" i="5"/>
  <c r="AU12" i="5"/>
  <c r="AU13" i="5"/>
  <c r="AU14" i="5"/>
  <c r="AU15" i="5"/>
  <c r="BH10" i="5"/>
  <c r="BH11" i="5"/>
  <c r="BH12" i="5"/>
  <c r="BH13" i="5"/>
  <c r="BH14" i="5"/>
  <c r="BH15" i="5"/>
  <c r="AT10" i="5"/>
  <c r="AT11" i="5"/>
  <c r="AT12" i="5"/>
  <c r="AT13" i="5"/>
  <c r="AT14" i="5"/>
  <c r="AT15" i="5"/>
  <c r="BG10" i="5"/>
  <c r="BG11" i="5"/>
  <c r="BG12" i="5"/>
  <c r="BG13" i="5"/>
  <c r="BG14" i="5"/>
  <c r="BG15" i="5"/>
  <c r="AS10" i="5"/>
  <c r="AS11" i="5"/>
  <c r="AS12" i="5"/>
  <c r="AS13" i="5"/>
  <c r="AS14" i="5"/>
  <c r="AS15" i="5"/>
  <c r="BF10" i="5"/>
  <c r="BF11" i="5"/>
  <c r="BF12" i="5"/>
  <c r="BF13" i="5"/>
  <c r="BF14" i="5"/>
  <c r="BF15" i="5"/>
  <c r="AR10" i="5"/>
  <c r="AR11" i="5"/>
  <c r="AR12" i="5"/>
  <c r="AR13" i="5"/>
  <c r="AR14" i="5"/>
  <c r="AR15" i="5"/>
  <c r="BE10" i="5"/>
  <c r="BE11" i="5"/>
  <c r="BE12" i="5"/>
  <c r="BE13" i="5"/>
  <c r="BE14" i="5"/>
  <c r="BE15" i="5"/>
  <c r="AQ10" i="5"/>
  <c r="AQ11" i="5"/>
  <c r="AQ12" i="5"/>
  <c r="AQ13" i="5"/>
  <c r="AQ14" i="5"/>
  <c r="AQ15" i="5"/>
  <c r="BD10" i="5"/>
  <c r="BD11" i="5"/>
  <c r="BD12" i="5"/>
  <c r="BD13" i="5"/>
  <c r="BD14" i="5"/>
  <c r="BD15" i="5"/>
  <c r="AP10" i="5"/>
  <c r="AP11" i="5"/>
  <c r="AP12" i="5"/>
  <c r="AP13" i="5"/>
  <c r="AP14" i="5"/>
  <c r="AP15" i="5"/>
  <c r="BC10" i="5"/>
  <c r="BC11" i="5"/>
  <c r="BC12" i="5"/>
  <c r="BC13" i="5"/>
  <c r="BC14" i="5"/>
  <c r="BC15" i="5"/>
  <c r="AO10" i="5"/>
  <c r="AO11" i="5"/>
  <c r="AO12" i="5"/>
  <c r="AO13" i="5"/>
  <c r="AO14" i="5"/>
  <c r="AO15" i="5"/>
  <c r="BB10" i="5"/>
  <c r="BB11" i="5"/>
  <c r="BB12" i="5"/>
  <c r="BB13" i="5"/>
  <c r="BB14" i="5"/>
  <c r="BB15" i="5"/>
  <c r="AM15" i="5"/>
  <c r="AL15" i="5"/>
  <c r="AK15" i="5"/>
  <c r="AJ15" i="5"/>
  <c r="AI15" i="5"/>
  <c r="AH15" i="5"/>
  <c r="AG15" i="5"/>
  <c r="AF15" i="5"/>
  <c r="AE15" i="5"/>
  <c r="AD15" i="5"/>
  <c r="AC15" i="5"/>
  <c r="AB15" i="5"/>
  <c r="AM14" i="5"/>
  <c r="AL14" i="5"/>
  <c r="AK14" i="5"/>
  <c r="AJ14" i="5"/>
  <c r="AI14" i="5"/>
  <c r="AH14" i="5"/>
  <c r="AG14" i="5"/>
  <c r="AF14" i="5"/>
  <c r="AE14" i="5"/>
  <c r="AD14" i="5"/>
  <c r="AC14" i="5"/>
  <c r="AB14" i="5"/>
  <c r="AM13" i="5"/>
  <c r="AL13" i="5"/>
  <c r="AK13" i="5"/>
  <c r="AJ13" i="5"/>
  <c r="AI13" i="5"/>
  <c r="AH13" i="5"/>
  <c r="AG13" i="5"/>
  <c r="AF13" i="5"/>
  <c r="AE13" i="5"/>
  <c r="AD13" i="5"/>
  <c r="AC13" i="5"/>
  <c r="AB13" i="5"/>
  <c r="AM12" i="5"/>
  <c r="AL12" i="5"/>
  <c r="AK12" i="5"/>
  <c r="AJ12" i="5"/>
  <c r="AI12" i="5"/>
  <c r="AH12" i="5"/>
  <c r="AG12" i="5"/>
  <c r="AF12" i="5"/>
  <c r="AE12" i="5"/>
  <c r="AD12" i="5"/>
  <c r="AC12" i="5"/>
  <c r="AB12" i="5"/>
  <c r="AM11" i="5"/>
  <c r="AL11" i="5"/>
  <c r="AK11" i="5"/>
  <c r="AJ11" i="5"/>
  <c r="AI11" i="5"/>
  <c r="AH11" i="5"/>
  <c r="AG11" i="5"/>
  <c r="AF11" i="5"/>
  <c r="AE11" i="5"/>
  <c r="AD11" i="5"/>
  <c r="AC11" i="5"/>
  <c r="AB11" i="5"/>
  <c r="AM10" i="5"/>
  <c r="AL10" i="5"/>
  <c r="AK10" i="5"/>
  <c r="AJ10" i="5"/>
  <c r="AI10" i="5"/>
  <c r="AH10" i="5"/>
  <c r="AG10" i="5"/>
  <c r="AF10" i="5"/>
  <c r="AE10" i="5"/>
  <c r="AD10" i="5"/>
  <c r="AC10" i="5"/>
  <c r="AB10" i="5"/>
  <c r="AM9" i="4"/>
  <c r="AZ100" i="4"/>
  <c r="AL9" i="4"/>
  <c r="AY100" i="4"/>
  <c r="AK9" i="4"/>
  <c r="AX100" i="4"/>
  <c r="AJ9" i="4"/>
  <c r="AW100" i="4"/>
  <c r="AI9" i="4"/>
  <c r="AV100" i="4"/>
  <c r="AH9" i="4"/>
  <c r="AU100" i="4"/>
  <c r="AG9" i="4"/>
  <c r="AT100" i="4"/>
  <c r="AF9" i="4"/>
  <c r="AS100" i="4"/>
  <c r="AE9" i="4"/>
  <c r="AR100" i="4"/>
  <c r="AD9" i="4"/>
  <c r="AQ100" i="4"/>
  <c r="AC9" i="4"/>
  <c r="AP100" i="4"/>
  <c r="AB9" i="4"/>
  <c r="AO100" i="4"/>
  <c r="AM100" i="4"/>
  <c r="AL100" i="4"/>
  <c r="AK100" i="4"/>
  <c r="AJ100" i="4"/>
  <c r="AI100" i="4"/>
  <c r="AH100" i="4"/>
  <c r="AG100" i="4"/>
  <c r="AF100" i="4"/>
  <c r="AE100" i="4"/>
  <c r="AD100" i="4"/>
  <c r="AC100" i="4"/>
  <c r="AB100" i="4"/>
  <c r="AZ99" i="4"/>
  <c r="AY99" i="4"/>
  <c r="AX99" i="4"/>
  <c r="AW99" i="4"/>
  <c r="AV99" i="4"/>
  <c r="AU99" i="4"/>
  <c r="AT99" i="4"/>
  <c r="AS99" i="4"/>
  <c r="AR99" i="4"/>
  <c r="AQ99" i="4"/>
  <c r="AP99" i="4"/>
  <c r="AO99" i="4"/>
  <c r="AM99" i="4"/>
  <c r="AL99" i="4"/>
  <c r="AK99" i="4"/>
  <c r="AJ99" i="4"/>
  <c r="AI99" i="4"/>
  <c r="AH99" i="4"/>
  <c r="AG99" i="4"/>
  <c r="AF99" i="4"/>
  <c r="AE99" i="4"/>
  <c r="AD99" i="4"/>
  <c r="AC99" i="4"/>
  <c r="AB99" i="4"/>
  <c r="AZ98" i="4"/>
  <c r="AY98" i="4"/>
  <c r="AX98" i="4"/>
  <c r="AW98" i="4"/>
  <c r="AV98" i="4"/>
  <c r="AU98" i="4"/>
  <c r="AT98" i="4"/>
  <c r="AS98" i="4"/>
  <c r="AR98" i="4"/>
  <c r="AQ98" i="4"/>
  <c r="AP98" i="4"/>
  <c r="AO98" i="4"/>
  <c r="AM98" i="4"/>
  <c r="AL98" i="4"/>
  <c r="AK98" i="4"/>
  <c r="AJ98" i="4"/>
  <c r="AI98" i="4"/>
  <c r="AH98" i="4"/>
  <c r="AG98" i="4"/>
  <c r="AF98" i="4"/>
  <c r="AE98" i="4"/>
  <c r="AD98" i="4"/>
  <c r="AC98" i="4"/>
  <c r="AB98" i="4"/>
  <c r="AZ97" i="4"/>
  <c r="AY97" i="4"/>
  <c r="AX97" i="4"/>
  <c r="AW97" i="4"/>
  <c r="AV97" i="4"/>
  <c r="AU97" i="4"/>
  <c r="AT97" i="4"/>
  <c r="AS97" i="4"/>
  <c r="AR97" i="4"/>
  <c r="AQ97" i="4"/>
  <c r="AP97" i="4"/>
  <c r="AO97" i="4"/>
  <c r="AM97" i="4"/>
  <c r="AL97" i="4"/>
  <c r="AK97" i="4"/>
  <c r="AJ97" i="4"/>
  <c r="AI97" i="4"/>
  <c r="AH97" i="4"/>
  <c r="AG97" i="4"/>
  <c r="AF97" i="4"/>
  <c r="AE97" i="4"/>
  <c r="AD97" i="4"/>
  <c r="AC97" i="4"/>
  <c r="AB97" i="4"/>
  <c r="AZ96" i="4"/>
  <c r="AY96" i="4"/>
  <c r="AX96" i="4"/>
  <c r="AW96" i="4"/>
  <c r="AV96" i="4"/>
  <c r="AU96" i="4"/>
  <c r="AT96" i="4"/>
  <c r="AS96" i="4"/>
  <c r="AR96" i="4"/>
  <c r="AQ96" i="4"/>
  <c r="AP96" i="4"/>
  <c r="AO96" i="4"/>
  <c r="AM96" i="4"/>
  <c r="AL96" i="4"/>
  <c r="AK96" i="4"/>
  <c r="AJ96" i="4"/>
  <c r="AI96" i="4"/>
  <c r="AH96" i="4"/>
  <c r="AG96" i="4"/>
  <c r="AF96" i="4"/>
  <c r="AE96" i="4"/>
  <c r="AD96" i="4"/>
  <c r="AC96" i="4"/>
  <c r="AB96" i="4"/>
  <c r="AZ95" i="4"/>
  <c r="AY95" i="4"/>
  <c r="AX95" i="4"/>
  <c r="AW95" i="4"/>
  <c r="AV95" i="4"/>
  <c r="AU95" i="4"/>
  <c r="AT95" i="4"/>
  <c r="AS95" i="4"/>
  <c r="AR95" i="4"/>
  <c r="AQ95" i="4"/>
  <c r="AP95" i="4"/>
  <c r="AO95" i="4"/>
  <c r="AM95" i="4"/>
  <c r="AL95" i="4"/>
  <c r="AK95" i="4"/>
  <c r="AJ95" i="4"/>
  <c r="AI95" i="4"/>
  <c r="AH95" i="4"/>
  <c r="AG95" i="4"/>
  <c r="AF95" i="4"/>
  <c r="AE95" i="4"/>
  <c r="AD95" i="4"/>
  <c r="AC95" i="4"/>
  <c r="AB95" i="4"/>
  <c r="AZ94" i="4"/>
  <c r="AY94" i="4"/>
  <c r="AX94" i="4"/>
  <c r="AW94" i="4"/>
  <c r="AV94" i="4"/>
  <c r="AU94" i="4"/>
  <c r="AT94" i="4"/>
  <c r="AS94" i="4"/>
  <c r="AR94" i="4"/>
  <c r="AQ94" i="4"/>
  <c r="AP94" i="4"/>
  <c r="AO94" i="4"/>
  <c r="AM94" i="4"/>
  <c r="AL94" i="4"/>
  <c r="AK94" i="4"/>
  <c r="AJ94" i="4"/>
  <c r="AI94" i="4"/>
  <c r="AH94" i="4"/>
  <c r="AG94" i="4"/>
  <c r="AF94" i="4"/>
  <c r="AE94" i="4"/>
  <c r="AD94" i="4"/>
  <c r="AC94" i="4"/>
  <c r="AB94" i="4"/>
  <c r="AZ93" i="4"/>
  <c r="AY93" i="4"/>
  <c r="AX93" i="4"/>
  <c r="AW93" i="4"/>
  <c r="AV93" i="4"/>
  <c r="AU93" i="4"/>
  <c r="AT93" i="4"/>
  <c r="AS93" i="4"/>
  <c r="AR93" i="4"/>
  <c r="AQ93" i="4"/>
  <c r="AP93" i="4"/>
  <c r="AO93" i="4"/>
  <c r="AM93" i="4"/>
  <c r="AL93" i="4"/>
  <c r="AK93" i="4"/>
  <c r="AJ93" i="4"/>
  <c r="AI93" i="4"/>
  <c r="AH93" i="4"/>
  <c r="AG93" i="4"/>
  <c r="AF93" i="4"/>
  <c r="AE93" i="4"/>
  <c r="AD93" i="4"/>
  <c r="AC93" i="4"/>
  <c r="AB93" i="4"/>
  <c r="AZ92" i="4"/>
  <c r="AY92" i="4"/>
  <c r="AX92" i="4"/>
  <c r="AW92" i="4"/>
  <c r="AV92" i="4"/>
  <c r="AU92" i="4"/>
  <c r="AT92" i="4"/>
  <c r="AS92" i="4"/>
  <c r="AR92" i="4"/>
  <c r="AQ92" i="4"/>
  <c r="AP92" i="4"/>
  <c r="AO92" i="4"/>
  <c r="AM92" i="4"/>
  <c r="AL92" i="4"/>
  <c r="AK92" i="4"/>
  <c r="AJ92" i="4"/>
  <c r="AI92" i="4"/>
  <c r="AH92" i="4"/>
  <c r="AG92" i="4"/>
  <c r="AF92" i="4"/>
  <c r="AE92" i="4"/>
  <c r="AD92" i="4"/>
  <c r="AC92" i="4"/>
  <c r="AB92" i="4"/>
  <c r="AZ91" i="4"/>
  <c r="AY91" i="4"/>
  <c r="AX91" i="4"/>
  <c r="AW91" i="4"/>
  <c r="AV91" i="4"/>
  <c r="AU91" i="4"/>
  <c r="AT91" i="4"/>
  <c r="AS91" i="4"/>
  <c r="AR91" i="4"/>
  <c r="AQ91" i="4"/>
  <c r="AP91" i="4"/>
  <c r="AO91" i="4"/>
  <c r="AM91" i="4"/>
  <c r="AL91" i="4"/>
  <c r="AK91" i="4"/>
  <c r="AJ91" i="4"/>
  <c r="AI91" i="4"/>
  <c r="AH91" i="4"/>
  <c r="AG91" i="4"/>
  <c r="AF91" i="4"/>
  <c r="AE91" i="4"/>
  <c r="AD91" i="4"/>
  <c r="AC91" i="4"/>
  <c r="AB91" i="4"/>
  <c r="AZ90" i="4"/>
  <c r="AY90" i="4"/>
  <c r="AX90" i="4"/>
  <c r="AW90" i="4"/>
  <c r="AV90" i="4"/>
  <c r="AU90" i="4"/>
  <c r="AT90" i="4"/>
  <c r="AS90" i="4"/>
  <c r="AR90" i="4"/>
  <c r="AQ90" i="4"/>
  <c r="AP90" i="4"/>
  <c r="AO90" i="4"/>
  <c r="AM90" i="4"/>
  <c r="AL90" i="4"/>
  <c r="AK90" i="4"/>
  <c r="AJ90" i="4"/>
  <c r="AI90" i="4"/>
  <c r="AH90" i="4"/>
  <c r="AG90" i="4"/>
  <c r="AF90" i="4"/>
  <c r="AE90" i="4"/>
  <c r="AD90" i="4"/>
  <c r="AC90" i="4"/>
  <c r="AB90" i="4"/>
  <c r="AZ89" i="4"/>
  <c r="AY89" i="4"/>
  <c r="AX89" i="4"/>
  <c r="AW89" i="4"/>
  <c r="AV89" i="4"/>
  <c r="AU89" i="4"/>
  <c r="AT89" i="4"/>
  <c r="AS89" i="4"/>
  <c r="AR89" i="4"/>
  <c r="AQ89" i="4"/>
  <c r="AP89" i="4"/>
  <c r="AO89" i="4"/>
  <c r="AM89" i="4"/>
  <c r="AL89" i="4"/>
  <c r="AK89" i="4"/>
  <c r="AJ89" i="4"/>
  <c r="AI89" i="4"/>
  <c r="AH89" i="4"/>
  <c r="AG89" i="4"/>
  <c r="AF89" i="4"/>
  <c r="AE89" i="4"/>
  <c r="AD89" i="4"/>
  <c r="AC89" i="4"/>
  <c r="AB89" i="4"/>
  <c r="AZ88" i="4"/>
  <c r="AY88" i="4"/>
  <c r="AX88" i="4"/>
  <c r="AW88" i="4"/>
  <c r="AV88" i="4"/>
  <c r="AU88" i="4"/>
  <c r="AT88" i="4"/>
  <c r="AS88" i="4"/>
  <c r="AR88" i="4"/>
  <c r="AQ88" i="4"/>
  <c r="AP88" i="4"/>
  <c r="AO88" i="4"/>
  <c r="AM88" i="4"/>
  <c r="AL88" i="4"/>
  <c r="AK88" i="4"/>
  <c r="AJ88" i="4"/>
  <c r="AI88" i="4"/>
  <c r="AH88" i="4"/>
  <c r="AG88" i="4"/>
  <c r="AF88" i="4"/>
  <c r="AE88" i="4"/>
  <c r="AD88" i="4"/>
  <c r="AC88" i="4"/>
  <c r="AB88" i="4"/>
  <c r="AZ87" i="4"/>
  <c r="AY87" i="4"/>
  <c r="AX87" i="4"/>
  <c r="AW87" i="4"/>
  <c r="AV87" i="4"/>
  <c r="AU87" i="4"/>
  <c r="AT87" i="4"/>
  <c r="AS87" i="4"/>
  <c r="AR87" i="4"/>
  <c r="AQ87" i="4"/>
  <c r="AP87" i="4"/>
  <c r="AO87" i="4"/>
  <c r="AM87" i="4"/>
  <c r="AL87" i="4"/>
  <c r="AK87" i="4"/>
  <c r="AJ87" i="4"/>
  <c r="AI87" i="4"/>
  <c r="AH87" i="4"/>
  <c r="AG87" i="4"/>
  <c r="AF87" i="4"/>
  <c r="AE87" i="4"/>
  <c r="AD87" i="4"/>
  <c r="AC87" i="4"/>
  <c r="AB87" i="4"/>
  <c r="AZ86" i="4"/>
  <c r="AY86" i="4"/>
  <c r="AX86" i="4"/>
  <c r="AW86" i="4"/>
  <c r="AV86" i="4"/>
  <c r="AU86" i="4"/>
  <c r="AT86" i="4"/>
  <c r="AS86" i="4"/>
  <c r="AR86" i="4"/>
  <c r="AQ86" i="4"/>
  <c r="AP86" i="4"/>
  <c r="AO86" i="4"/>
  <c r="AM86" i="4"/>
  <c r="AL86" i="4"/>
  <c r="AK86" i="4"/>
  <c r="AJ86" i="4"/>
  <c r="AI86" i="4"/>
  <c r="AH86" i="4"/>
  <c r="AG86" i="4"/>
  <c r="AF86" i="4"/>
  <c r="AE86" i="4"/>
  <c r="AD86" i="4"/>
  <c r="AC86" i="4"/>
  <c r="AB86" i="4"/>
  <c r="AZ85" i="4"/>
  <c r="AY85" i="4"/>
  <c r="AX85" i="4"/>
  <c r="AW85" i="4"/>
  <c r="AV85" i="4"/>
  <c r="AU85" i="4"/>
  <c r="AT85" i="4"/>
  <c r="AS85" i="4"/>
  <c r="AR85" i="4"/>
  <c r="AQ85" i="4"/>
  <c r="AP85" i="4"/>
  <c r="AO85" i="4"/>
  <c r="AM85" i="4"/>
  <c r="AL85" i="4"/>
  <c r="AK85" i="4"/>
  <c r="AJ85" i="4"/>
  <c r="AI85" i="4"/>
  <c r="AH85" i="4"/>
  <c r="AG85" i="4"/>
  <c r="AF85" i="4"/>
  <c r="AE85" i="4"/>
  <c r="AD85" i="4"/>
  <c r="AC85" i="4"/>
  <c r="AB85" i="4"/>
  <c r="AZ84" i="4"/>
  <c r="AY84" i="4"/>
  <c r="AX84" i="4"/>
  <c r="AW84" i="4"/>
  <c r="AV84" i="4"/>
  <c r="AU84" i="4"/>
  <c r="AT84" i="4"/>
  <c r="AS84" i="4"/>
  <c r="AR84" i="4"/>
  <c r="AQ84" i="4"/>
  <c r="AP84" i="4"/>
  <c r="AO84" i="4"/>
  <c r="AM84" i="4"/>
  <c r="AL84" i="4"/>
  <c r="AK84" i="4"/>
  <c r="AJ84" i="4"/>
  <c r="AI84" i="4"/>
  <c r="AH84" i="4"/>
  <c r="AG84" i="4"/>
  <c r="AF84" i="4"/>
  <c r="AE84" i="4"/>
  <c r="AD84" i="4"/>
  <c r="AC84" i="4"/>
  <c r="AB84" i="4"/>
  <c r="AZ83" i="4"/>
  <c r="AY83" i="4"/>
  <c r="AX83" i="4"/>
  <c r="AW83" i="4"/>
  <c r="AV83" i="4"/>
  <c r="AU83" i="4"/>
  <c r="AT83" i="4"/>
  <c r="AS83" i="4"/>
  <c r="AR83" i="4"/>
  <c r="AQ83" i="4"/>
  <c r="AP83" i="4"/>
  <c r="AO83" i="4"/>
  <c r="AM83" i="4"/>
  <c r="AL83" i="4"/>
  <c r="AK83" i="4"/>
  <c r="AJ83" i="4"/>
  <c r="AI83" i="4"/>
  <c r="AH83" i="4"/>
  <c r="AG83" i="4"/>
  <c r="AF83" i="4"/>
  <c r="AE83" i="4"/>
  <c r="AD83" i="4"/>
  <c r="AC83" i="4"/>
  <c r="AB83" i="4"/>
  <c r="AZ82" i="4"/>
  <c r="AY82" i="4"/>
  <c r="AX82" i="4"/>
  <c r="AW82" i="4"/>
  <c r="AV82" i="4"/>
  <c r="AU82" i="4"/>
  <c r="AT82" i="4"/>
  <c r="AS82" i="4"/>
  <c r="AR82" i="4"/>
  <c r="AQ82" i="4"/>
  <c r="AP82" i="4"/>
  <c r="AO82" i="4"/>
  <c r="AM82" i="4"/>
  <c r="AL82" i="4"/>
  <c r="AK82" i="4"/>
  <c r="AJ82" i="4"/>
  <c r="AI82" i="4"/>
  <c r="AH82" i="4"/>
  <c r="AG82" i="4"/>
  <c r="AF82" i="4"/>
  <c r="AE82" i="4"/>
  <c r="AD82" i="4"/>
  <c r="AC82" i="4"/>
  <c r="AB82" i="4"/>
  <c r="AZ81" i="4"/>
  <c r="AY81" i="4"/>
  <c r="AX81" i="4"/>
  <c r="AW81" i="4"/>
  <c r="AV81" i="4"/>
  <c r="AU81" i="4"/>
  <c r="AT81" i="4"/>
  <c r="AS81" i="4"/>
  <c r="AR81" i="4"/>
  <c r="AQ81" i="4"/>
  <c r="AP81" i="4"/>
  <c r="AO81" i="4"/>
  <c r="AM81" i="4"/>
  <c r="AL81" i="4"/>
  <c r="AK81" i="4"/>
  <c r="AJ81" i="4"/>
  <c r="AI81" i="4"/>
  <c r="AH81" i="4"/>
  <c r="AG81" i="4"/>
  <c r="AF81" i="4"/>
  <c r="AE81" i="4"/>
  <c r="AD81" i="4"/>
  <c r="AC81" i="4"/>
  <c r="AB81" i="4"/>
  <c r="AZ80" i="4"/>
  <c r="AY80" i="4"/>
  <c r="AX80" i="4"/>
  <c r="AW80" i="4"/>
  <c r="AV80" i="4"/>
  <c r="AU80" i="4"/>
  <c r="AT80" i="4"/>
  <c r="AS80" i="4"/>
  <c r="AR80" i="4"/>
  <c r="AQ80" i="4"/>
  <c r="AP80" i="4"/>
  <c r="AO80" i="4"/>
  <c r="AM80" i="4"/>
  <c r="AL80" i="4"/>
  <c r="AK80" i="4"/>
  <c r="AJ80" i="4"/>
  <c r="AI80" i="4"/>
  <c r="AH80" i="4"/>
  <c r="AG80" i="4"/>
  <c r="AF80" i="4"/>
  <c r="AE80" i="4"/>
  <c r="AD80" i="4"/>
  <c r="AC80" i="4"/>
  <c r="AB80" i="4"/>
  <c r="AZ79" i="4"/>
  <c r="AY79" i="4"/>
  <c r="AX79" i="4"/>
  <c r="AW79" i="4"/>
  <c r="AV79" i="4"/>
  <c r="AU79" i="4"/>
  <c r="AT79" i="4"/>
  <c r="AS79" i="4"/>
  <c r="AR79" i="4"/>
  <c r="AQ79" i="4"/>
  <c r="AP79" i="4"/>
  <c r="AO79" i="4"/>
  <c r="AM79" i="4"/>
  <c r="AL79" i="4"/>
  <c r="AK79" i="4"/>
  <c r="AJ79" i="4"/>
  <c r="AI79" i="4"/>
  <c r="AH79" i="4"/>
  <c r="AG79" i="4"/>
  <c r="AF79" i="4"/>
  <c r="AE79" i="4"/>
  <c r="AD79" i="4"/>
  <c r="AC79" i="4"/>
  <c r="AB79" i="4"/>
  <c r="AZ78" i="4"/>
  <c r="AY78" i="4"/>
  <c r="AX78" i="4"/>
  <c r="AW78" i="4"/>
  <c r="AV78" i="4"/>
  <c r="AU78" i="4"/>
  <c r="AT78" i="4"/>
  <c r="AS78" i="4"/>
  <c r="AR78" i="4"/>
  <c r="AQ78" i="4"/>
  <c r="AP78" i="4"/>
  <c r="AO78" i="4"/>
  <c r="AM78" i="4"/>
  <c r="AL78" i="4"/>
  <c r="AK78" i="4"/>
  <c r="AJ78" i="4"/>
  <c r="AI78" i="4"/>
  <c r="AH78" i="4"/>
  <c r="AG78" i="4"/>
  <c r="AF78" i="4"/>
  <c r="AE78" i="4"/>
  <c r="AD78" i="4"/>
  <c r="AC78" i="4"/>
  <c r="AB78" i="4"/>
  <c r="AZ77" i="4"/>
  <c r="AY77" i="4"/>
  <c r="AX77" i="4"/>
  <c r="AW77" i="4"/>
  <c r="AV77" i="4"/>
  <c r="AU77" i="4"/>
  <c r="AT77" i="4"/>
  <c r="AS77" i="4"/>
  <c r="AR77" i="4"/>
  <c r="AQ77" i="4"/>
  <c r="AP77" i="4"/>
  <c r="AO77" i="4"/>
  <c r="AM77" i="4"/>
  <c r="AL77" i="4"/>
  <c r="AK77" i="4"/>
  <c r="AJ77" i="4"/>
  <c r="AI77" i="4"/>
  <c r="AH77" i="4"/>
  <c r="AG77" i="4"/>
  <c r="AF77" i="4"/>
  <c r="AE77" i="4"/>
  <c r="AD77" i="4"/>
  <c r="AC77" i="4"/>
  <c r="AB77" i="4"/>
  <c r="AZ76" i="4"/>
  <c r="AY76" i="4"/>
  <c r="AX76" i="4"/>
  <c r="AW76" i="4"/>
  <c r="AV76" i="4"/>
  <c r="AU76" i="4"/>
  <c r="AT76" i="4"/>
  <c r="AS76" i="4"/>
  <c r="AR76" i="4"/>
  <c r="AQ76" i="4"/>
  <c r="AP76" i="4"/>
  <c r="AO76" i="4"/>
  <c r="AM76" i="4"/>
  <c r="AL76" i="4"/>
  <c r="AK76" i="4"/>
  <c r="AJ76" i="4"/>
  <c r="AI76" i="4"/>
  <c r="AH76" i="4"/>
  <c r="AG76" i="4"/>
  <c r="AF76" i="4"/>
  <c r="AE76" i="4"/>
  <c r="AD76" i="4"/>
  <c r="AC76" i="4"/>
  <c r="AB76" i="4"/>
  <c r="AZ75" i="4"/>
  <c r="AY75" i="4"/>
  <c r="AX75" i="4"/>
  <c r="AW75" i="4"/>
  <c r="AV75" i="4"/>
  <c r="AU75" i="4"/>
  <c r="AT75" i="4"/>
  <c r="AS75" i="4"/>
  <c r="AR75" i="4"/>
  <c r="AQ75" i="4"/>
  <c r="AP75" i="4"/>
  <c r="AO75" i="4"/>
  <c r="AM75" i="4"/>
  <c r="AL75" i="4"/>
  <c r="AK75" i="4"/>
  <c r="AJ75" i="4"/>
  <c r="AI75" i="4"/>
  <c r="AH75" i="4"/>
  <c r="AG75" i="4"/>
  <c r="AF75" i="4"/>
  <c r="AE75" i="4"/>
  <c r="AD75" i="4"/>
  <c r="AC75" i="4"/>
  <c r="AB75" i="4"/>
  <c r="AZ74" i="4"/>
  <c r="AY74" i="4"/>
  <c r="AX74" i="4"/>
  <c r="AW74" i="4"/>
  <c r="AV74" i="4"/>
  <c r="AU74" i="4"/>
  <c r="AT74" i="4"/>
  <c r="AS74" i="4"/>
  <c r="AR74" i="4"/>
  <c r="AQ74" i="4"/>
  <c r="AP74" i="4"/>
  <c r="AO74" i="4"/>
  <c r="AM74" i="4"/>
  <c r="AL74" i="4"/>
  <c r="AK74" i="4"/>
  <c r="AJ74" i="4"/>
  <c r="AI74" i="4"/>
  <c r="AH74" i="4"/>
  <c r="AG74" i="4"/>
  <c r="AF74" i="4"/>
  <c r="AE74" i="4"/>
  <c r="AD74" i="4"/>
  <c r="AC74" i="4"/>
  <c r="AB74" i="4"/>
  <c r="AZ73" i="4"/>
  <c r="AY73" i="4"/>
  <c r="AX73" i="4"/>
  <c r="AW73" i="4"/>
  <c r="AV73" i="4"/>
  <c r="AU73" i="4"/>
  <c r="AT73" i="4"/>
  <c r="AS73" i="4"/>
  <c r="AR73" i="4"/>
  <c r="AQ73" i="4"/>
  <c r="AP73" i="4"/>
  <c r="AO73" i="4"/>
  <c r="AM73" i="4"/>
  <c r="AL73" i="4"/>
  <c r="AK73" i="4"/>
  <c r="AJ73" i="4"/>
  <c r="AI73" i="4"/>
  <c r="AH73" i="4"/>
  <c r="AG73" i="4"/>
  <c r="AF73" i="4"/>
  <c r="AE73" i="4"/>
  <c r="AD73" i="4"/>
  <c r="AC73" i="4"/>
  <c r="AB73" i="4"/>
  <c r="AZ72" i="4"/>
  <c r="AY72" i="4"/>
  <c r="AX72" i="4"/>
  <c r="AW72" i="4"/>
  <c r="AV72" i="4"/>
  <c r="AU72" i="4"/>
  <c r="AT72" i="4"/>
  <c r="AS72" i="4"/>
  <c r="AR72" i="4"/>
  <c r="AQ72" i="4"/>
  <c r="AP72" i="4"/>
  <c r="AO72" i="4"/>
  <c r="AM72" i="4"/>
  <c r="AL72" i="4"/>
  <c r="AK72" i="4"/>
  <c r="AJ72" i="4"/>
  <c r="AI72" i="4"/>
  <c r="AH72" i="4"/>
  <c r="AG72" i="4"/>
  <c r="AF72" i="4"/>
  <c r="AE72" i="4"/>
  <c r="AD72" i="4"/>
  <c r="AC72" i="4"/>
  <c r="AB72" i="4"/>
  <c r="AZ71" i="4"/>
  <c r="AY71" i="4"/>
  <c r="AX71" i="4"/>
  <c r="AW71" i="4"/>
  <c r="AV71" i="4"/>
  <c r="AU71" i="4"/>
  <c r="AT71" i="4"/>
  <c r="AS71" i="4"/>
  <c r="AR71" i="4"/>
  <c r="AQ71" i="4"/>
  <c r="AP71" i="4"/>
  <c r="AO71" i="4"/>
  <c r="AM71" i="4"/>
  <c r="AL71" i="4"/>
  <c r="AK71" i="4"/>
  <c r="AJ71" i="4"/>
  <c r="AI71" i="4"/>
  <c r="AH71" i="4"/>
  <c r="AG71" i="4"/>
  <c r="AF71" i="4"/>
  <c r="AE71" i="4"/>
  <c r="AD71" i="4"/>
  <c r="AC71" i="4"/>
  <c r="AB71" i="4"/>
  <c r="AZ70" i="4"/>
  <c r="AY70" i="4"/>
  <c r="AX70" i="4"/>
  <c r="AW70" i="4"/>
  <c r="AV70" i="4"/>
  <c r="AU70" i="4"/>
  <c r="AT70" i="4"/>
  <c r="AS70" i="4"/>
  <c r="AR70" i="4"/>
  <c r="AQ70" i="4"/>
  <c r="AP70" i="4"/>
  <c r="AO70" i="4"/>
  <c r="AM70" i="4"/>
  <c r="AL70" i="4"/>
  <c r="AK70" i="4"/>
  <c r="AJ70" i="4"/>
  <c r="AI70" i="4"/>
  <c r="AH70" i="4"/>
  <c r="AG70" i="4"/>
  <c r="AF70" i="4"/>
  <c r="AE70" i="4"/>
  <c r="AD70" i="4"/>
  <c r="AC70" i="4"/>
  <c r="AB70" i="4"/>
  <c r="AZ69" i="4"/>
  <c r="AY69" i="4"/>
  <c r="AX69" i="4"/>
  <c r="AW69" i="4"/>
  <c r="AV69" i="4"/>
  <c r="AU69" i="4"/>
  <c r="AT69" i="4"/>
  <c r="AS69" i="4"/>
  <c r="AR69" i="4"/>
  <c r="AQ69" i="4"/>
  <c r="AP69" i="4"/>
  <c r="AO69" i="4"/>
  <c r="AM69" i="4"/>
  <c r="AL69" i="4"/>
  <c r="AK69" i="4"/>
  <c r="AJ69" i="4"/>
  <c r="AI69" i="4"/>
  <c r="AH69" i="4"/>
  <c r="AG69" i="4"/>
  <c r="AF69" i="4"/>
  <c r="AE69" i="4"/>
  <c r="AD69" i="4"/>
  <c r="AC69" i="4"/>
  <c r="AB69" i="4"/>
  <c r="AZ68" i="4"/>
  <c r="AY68" i="4"/>
  <c r="AX68" i="4"/>
  <c r="AW68" i="4"/>
  <c r="AV68" i="4"/>
  <c r="AU68" i="4"/>
  <c r="AT68" i="4"/>
  <c r="AS68" i="4"/>
  <c r="AR68" i="4"/>
  <c r="AQ68" i="4"/>
  <c r="AP68" i="4"/>
  <c r="AO68" i="4"/>
  <c r="AM68" i="4"/>
  <c r="AL68" i="4"/>
  <c r="AK68" i="4"/>
  <c r="AJ68" i="4"/>
  <c r="AI68" i="4"/>
  <c r="AH68" i="4"/>
  <c r="AG68" i="4"/>
  <c r="AF68" i="4"/>
  <c r="AE68" i="4"/>
  <c r="AD68" i="4"/>
  <c r="AC68" i="4"/>
  <c r="AB68" i="4"/>
  <c r="AZ67" i="4"/>
  <c r="AY67" i="4"/>
  <c r="AX67" i="4"/>
  <c r="AW67" i="4"/>
  <c r="AV67" i="4"/>
  <c r="AU67" i="4"/>
  <c r="AT67" i="4"/>
  <c r="AS67" i="4"/>
  <c r="AR67" i="4"/>
  <c r="AQ67" i="4"/>
  <c r="AP67" i="4"/>
  <c r="AO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Z66" i="4"/>
  <c r="AY66" i="4"/>
  <c r="AX66" i="4"/>
  <c r="AW66" i="4"/>
  <c r="AV66" i="4"/>
  <c r="AU66" i="4"/>
  <c r="AT66" i="4"/>
  <c r="AS66" i="4"/>
  <c r="AR66" i="4"/>
  <c r="AQ66" i="4"/>
  <c r="AP66" i="4"/>
  <c r="AO66" i="4"/>
  <c r="AM66" i="4"/>
  <c r="AL66" i="4"/>
  <c r="AK66" i="4"/>
  <c r="AJ66" i="4"/>
  <c r="AI66" i="4"/>
  <c r="AH66" i="4"/>
  <c r="AG66" i="4"/>
  <c r="AF66" i="4"/>
  <c r="AE66" i="4"/>
  <c r="AD66" i="4"/>
  <c r="AC66" i="4"/>
  <c r="AB66" i="4"/>
  <c r="AZ65" i="4"/>
  <c r="AY65" i="4"/>
  <c r="AX65" i="4"/>
  <c r="AW65" i="4"/>
  <c r="AV65" i="4"/>
  <c r="AU65" i="4"/>
  <c r="AT65" i="4"/>
  <c r="AS65" i="4"/>
  <c r="AR65" i="4"/>
  <c r="AQ65" i="4"/>
  <c r="AP65" i="4"/>
  <c r="AO65" i="4"/>
  <c r="AM65" i="4"/>
  <c r="AL65" i="4"/>
  <c r="AK65" i="4"/>
  <c r="AJ65" i="4"/>
  <c r="AI65" i="4"/>
  <c r="AH65" i="4"/>
  <c r="AG65" i="4"/>
  <c r="AF65" i="4"/>
  <c r="AE65" i="4"/>
  <c r="AD65" i="4"/>
  <c r="AC65" i="4"/>
  <c r="AB65" i="4"/>
  <c r="AZ64" i="4"/>
  <c r="AY64" i="4"/>
  <c r="AX64" i="4"/>
  <c r="AW64" i="4"/>
  <c r="AV64" i="4"/>
  <c r="AU64" i="4"/>
  <c r="AT64" i="4"/>
  <c r="AS64" i="4"/>
  <c r="AR64" i="4"/>
  <c r="AQ64" i="4"/>
  <c r="AP64" i="4"/>
  <c r="AO64" i="4"/>
  <c r="AM64" i="4"/>
  <c r="AL64" i="4"/>
  <c r="AK64" i="4"/>
  <c r="AJ64" i="4"/>
  <c r="AI64" i="4"/>
  <c r="AH64" i="4"/>
  <c r="AG64" i="4"/>
  <c r="AF64" i="4"/>
  <c r="AE64" i="4"/>
  <c r="AD64" i="4"/>
  <c r="AC64" i="4"/>
  <c r="AB64" i="4"/>
  <c r="AZ63" i="4"/>
  <c r="AY63" i="4"/>
  <c r="AX63" i="4"/>
  <c r="AW63" i="4"/>
  <c r="AV63" i="4"/>
  <c r="AU63" i="4"/>
  <c r="AT63" i="4"/>
  <c r="AS63" i="4"/>
  <c r="AR63" i="4"/>
  <c r="AQ63" i="4"/>
  <c r="AP63" i="4"/>
  <c r="AO63" i="4"/>
  <c r="AM63" i="4"/>
  <c r="AL63" i="4"/>
  <c r="AK63" i="4"/>
  <c r="AJ63" i="4"/>
  <c r="AI63" i="4"/>
  <c r="AH63" i="4"/>
  <c r="AG63" i="4"/>
  <c r="AF63" i="4"/>
  <c r="AE63" i="4"/>
  <c r="AD63" i="4"/>
  <c r="AC63" i="4"/>
  <c r="AB63" i="4"/>
  <c r="AZ62" i="4"/>
  <c r="AY62" i="4"/>
  <c r="AX62" i="4"/>
  <c r="AW62" i="4"/>
  <c r="AV62" i="4"/>
  <c r="AU62" i="4"/>
  <c r="AT62" i="4"/>
  <c r="AS62" i="4"/>
  <c r="AR62" i="4"/>
  <c r="AQ62" i="4"/>
  <c r="AP62" i="4"/>
  <c r="AO62" i="4"/>
  <c r="AM62" i="4"/>
  <c r="AL62" i="4"/>
  <c r="AK62" i="4"/>
  <c r="AJ62" i="4"/>
  <c r="AI62" i="4"/>
  <c r="AH62" i="4"/>
  <c r="AG62" i="4"/>
  <c r="AF62" i="4"/>
  <c r="AE62" i="4"/>
  <c r="AD62" i="4"/>
  <c r="AC62" i="4"/>
  <c r="AB62" i="4"/>
  <c r="AZ61" i="4"/>
  <c r="AY61" i="4"/>
  <c r="AX61" i="4"/>
  <c r="AW61" i="4"/>
  <c r="AV61" i="4"/>
  <c r="AU61" i="4"/>
  <c r="AT61" i="4"/>
  <c r="AS61" i="4"/>
  <c r="AR61" i="4"/>
  <c r="AQ61" i="4"/>
  <c r="AP61" i="4"/>
  <c r="AO61" i="4"/>
  <c r="AM61" i="4"/>
  <c r="AL61" i="4"/>
  <c r="AK61" i="4"/>
  <c r="AJ61" i="4"/>
  <c r="AI61" i="4"/>
  <c r="AH61" i="4"/>
  <c r="AG61" i="4"/>
  <c r="AF61" i="4"/>
  <c r="AE61" i="4"/>
  <c r="AD61" i="4"/>
  <c r="AC61" i="4"/>
  <c r="AB61" i="4"/>
  <c r="AZ60" i="4"/>
  <c r="AY60" i="4"/>
  <c r="AX60" i="4"/>
  <c r="AW60" i="4"/>
  <c r="AV60" i="4"/>
  <c r="AU60" i="4"/>
  <c r="AT60" i="4"/>
  <c r="AS60" i="4"/>
  <c r="AR60" i="4"/>
  <c r="AQ60" i="4"/>
  <c r="AP60" i="4"/>
  <c r="AO60" i="4"/>
  <c r="AM60" i="4"/>
  <c r="AL60" i="4"/>
  <c r="AK60" i="4"/>
  <c r="AJ60" i="4"/>
  <c r="AI60" i="4"/>
  <c r="AH60" i="4"/>
  <c r="AG60" i="4"/>
  <c r="AF60" i="4"/>
  <c r="AE60" i="4"/>
  <c r="AD60" i="4"/>
  <c r="AC60" i="4"/>
  <c r="AB60" i="4"/>
  <c r="AZ59" i="4"/>
  <c r="AY59" i="4"/>
  <c r="AX59" i="4"/>
  <c r="AW59" i="4"/>
  <c r="AV59" i="4"/>
  <c r="AU59" i="4"/>
  <c r="AT59" i="4"/>
  <c r="AS59" i="4"/>
  <c r="AR59" i="4"/>
  <c r="AQ59" i="4"/>
  <c r="AP59" i="4"/>
  <c r="AO59" i="4"/>
  <c r="AM59" i="4"/>
  <c r="AL59" i="4"/>
  <c r="AK59" i="4"/>
  <c r="AJ59" i="4"/>
  <c r="AI59" i="4"/>
  <c r="AH59" i="4"/>
  <c r="AG59" i="4"/>
  <c r="AF59" i="4"/>
  <c r="AE59" i="4"/>
  <c r="AD59" i="4"/>
  <c r="AC59" i="4"/>
  <c r="AB59" i="4"/>
  <c r="AZ58" i="4"/>
  <c r="AY58" i="4"/>
  <c r="AX58" i="4"/>
  <c r="AW58" i="4"/>
  <c r="AV58" i="4"/>
  <c r="AU58" i="4"/>
  <c r="AT58" i="4"/>
  <c r="AS58" i="4"/>
  <c r="AR58" i="4"/>
  <c r="AQ58" i="4"/>
  <c r="AP58" i="4"/>
  <c r="AO58" i="4"/>
  <c r="AM58" i="4"/>
  <c r="AL58" i="4"/>
  <c r="AK58" i="4"/>
  <c r="AJ58" i="4"/>
  <c r="AI58" i="4"/>
  <c r="AH58" i="4"/>
  <c r="AG58" i="4"/>
  <c r="AF58" i="4"/>
  <c r="AE58" i="4"/>
  <c r="AD58" i="4"/>
  <c r="AC58" i="4"/>
  <c r="AB58" i="4"/>
  <c r="AZ57" i="4"/>
  <c r="AY57" i="4"/>
  <c r="AX57" i="4"/>
  <c r="AW57" i="4"/>
  <c r="AV57" i="4"/>
  <c r="AU57" i="4"/>
  <c r="AT57" i="4"/>
  <c r="AS57" i="4"/>
  <c r="AR57" i="4"/>
  <c r="AQ57" i="4"/>
  <c r="AP57" i="4"/>
  <c r="AO57" i="4"/>
  <c r="AM57" i="4"/>
  <c r="AL57" i="4"/>
  <c r="AK57" i="4"/>
  <c r="AJ57" i="4"/>
  <c r="AI57" i="4"/>
  <c r="AH57" i="4"/>
  <c r="AG57" i="4"/>
  <c r="AF57" i="4"/>
  <c r="AE57" i="4"/>
  <c r="AD57" i="4"/>
  <c r="AC57" i="4"/>
  <c r="AB57" i="4"/>
  <c r="AZ56" i="4"/>
  <c r="AY56" i="4"/>
  <c r="AX56" i="4"/>
  <c r="AW56" i="4"/>
  <c r="AV56" i="4"/>
  <c r="AU56" i="4"/>
  <c r="AT56" i="4"/>
  <c r="AS56" i="4"/>
  <c r="AR56" i="4"/>
  <c r="AQ56" i="4"/>
  <c r="AP56" i="4"/>
  <c r="AO56" i="4"/>
  <c r="AM56" i="4"/>
  <c r="AL56" i="4"/>
  <c r="AK56" i="4"/>
  <c r="AJ56" i="4"/>
  <c r="AI56" i="4"/>
  <c r="AH56" i="4"/>
  <c r="AG56" i="4"/>
  <c r="AF56" i="4"/>
  <c r="AE56" i="4"/>
  <c r="AD56" i="4"/>
  <c r="AC56" i="4"/>
  <c r="AB56" i="4"/>
  <c r="AZ55" i="4"/>
  <c r="AY55" i="4"/>
  <c r="AX55" i="4"/>
  <c r="AW55" i="4"/>
  <c r="AV55" i="4"/>
  <c r="AU55" i="4"/>
  <c r="AT55" i="4"/>
  <c r="AS55" i="4"/>
  <c r="AR55" i="4"/>
  <c r="AQ55" i="4"/>
  <c r="AP55" i="4"/>
  <c r="AO55" i="4"/>
  <c r="AM55" i="4"/>
  <c r="AL55" i="4"/>
  <c r="AK55" i="4"/>
  <c r="AJ55" i="4"/>
  <c r="AI55" i="4"/>
  <c r="AH55" i="4"/>
  <c r="AG55" i="4"/>
  <c r="AF55" i="4"/>
  <c r="AE55" i="4"/>
  <c r="AD55" i="4"/>
  <c r="AC55" i="4"/>
  <c r="AB55" i="4"/>
  <c r="AZ54" i="4"/>
  <c r="AY54" i="4"/>
  <c r="AX54" i="4"/>
  <c r="AW54" i="4"/>
  <c r="AV54" i="4"/>
  <c r="AU54" i="4"/>
  <c r="AT54" i="4"/>
  <c r="AS54" i="4"/>
  <c r="AR54" i="4"/>
  <c r="AQ54" i="4"/>
  <c r="AP54" i="4"/>
  <c r="AO54" i="4"/>
  <c r="AM54" i="4"/>
  <c r="AL54" i="4"/>
  <c r="AK54" i="4"/>
  <c r="AJ54" i="4"/>
  <c r="AI54" i="4"/>
  <c r="AH54" i="4"/>
  <c r="AG54" i="4"/>
  <c r="AF54" i="4"/>
  <c r="AE54" i="4"/>
  <c r="AD54" i="4"/>
  <c r="AC54" i="4"/>
  <c r="AB54" i="4"/>
  <c r="AZ53" i="4"/>
  <c r="AY53" i="4"/>
  <c r="AX53" i="4"/>
  <c r="AW53" i="4"/>
  <c r="AV53" i="4"/>
  <c r="AU53" i="4"/>
  <c r="AT53" i="4"/>
  <c r="AS53" i="4"/>
  <c r="AR53" i="4"/>
  <c r="AQ53" i="4"/>
  <c r="AP53" i="4"/>
  <c r="AO53" i="4"/>
  <c r="AM53" i="4"/>
  <c r="AL53" i="4"/>
  <c r="AK53" i="4"/>
  <c r="AJ53" i="4"/>
  <c r="AI53" i="4"/>
  <c r="AH53" i="4"/>
  <c r="AG53" i="4"/>
  <c r="AF53" i="4"/>
  <c r="AE53" i="4"/>
  <c r="AD53" i="4"/>
  <c r="AC53" i="4"/>
  <c r="AB53" i="4"/>
  <c r="AZ52" i="4"/>
  <c r="AY52" i="4"/>
  <c r="AX52" i="4"/>
  <c r="AW52" i="4"/>
  <c r="AV52" i="4"/>
  <c r="AU52" i="4"/>
  <c r="AT52" i="4"/>
  <c r="AS52" i="4"/>
  <c r="AR52" i="4"/>
  <c r="AQ52" i="4"/>
  <c r="AP52" i="4"/>
  <c r="AO52" i="4"/>
  <c r="AM52" i="4"/>
  <c r="AL52" i="4"/>
  <c r="AK52" i="4"/>
  <c r="AJ52" i="4"/>
  <c r="AI52" i="4"/>
  <c r="AH52" i="4"/>
  <c r="AG52" i="4"/>
  <c r="AF52" i="4"/>
  <c r="AE52" i="4"/>
  <c r="AD52" i="4"/>
  <c r="AC52" i="4"/>
  <c r="AB52" i="4"/>
  <c r="AZ51" i="4"/>
  <c r="AY51" i="4"/>
  <c r="AX51" i="4"/>
  <c r="AW51" i="4"/>
  <c r="AV51" i="4"/>
  <c r="AU51" i="4"/>
  <c r="AT51" i="4"/>
  <c r="AS51" i="4"/>
  <c r="AR51" i="4"/>
  <c r="AQ51" i="4"/>
  <c r="AP51" i="4"/>
  <c r="AO51" i="4"/>
  <c r="AM51" i="4"/>
  <c r="AL51" i="4"/>
  <c r="AK51" i="4"/>
  <c r="AJ51" i="4"/>
  <c r="AI51" i="4"/>
  <c r="AH51" i="4"/>
  <c r="AG51" i="4"/>
  <c r="AF51" i="4"/>
  <c r="AE51" i="4"/>
  <c r="AD51" i="4"/>
  <c r="AC51" i="4"/>
  <c r="AB51" i="4"/>
  <c r="AZ50" i="4"/>
  <c r="AY50" i="4"/>
  <c r="AX50" i="4"/>
  <c r="AW50" i="4"/>
  <c r="AV50" i="4"/>
  <c r="AU50" i="4"/>
  <c r="AT50" i="4"/>
  <c r="AS50" i="4"/>
  <c r="AR50" i="4"/>
  <c r="AQ50" i="4"/>
  <c r="AP50" i="4"/>
  <c r="AO50" i="4"/>
  <c r="AM50" i="4"/>
  <c r="AL50" i="4"/>
  <c r="AK50" i="4"/>
  <c r="AJ50" i="4"/>
  <c r="AI50" i="4"/>
  <c r="AH50" i="4"/>
  <c r="AG50" i="4"/>
  <c r="AF50" i="4"/>
  <c r="AE50" i="4"/>
  <c r="AD50" i="4"/>
  <c r="AC50" i="4"/>
  <c r="AB50" i="4"/>
  <c r="AZ49" i="4"/>
  <c r="AY49" i="4"/>
  <c r="AX49" i="4"/>
  <c r="AW49" i="4"/>
  <c r="AV49" i="4"/>
  <c r="AU49" i="4"/>
  <c r="AT49" i="4"/>
  <c r="AS49" i="4"/>
  <c r="AR49" i="4"/>
  <c r="AQ49" i="4"/>
  <c r="AP49" i="4"/>
  <c r="AO49" i="4"/>
  <c r="AM49" i="4"/>
  <c r="AL49" i="4"/>
  <c r="AK49" i="4"/>
  <c r="AJ49" i="4"/>
  <c r="AI49" i="4"/>
  <c r="AH49" i="4"/>
  <c r="AG49" i="4"/>
  <c r="AF49" i="4"/>
  <c r="AE49" i="4"/>
  <c r="AD49" i="4"/>
  <c r="AC49" i="4"/>
  <c r="AB49" i="4"/>
  <c r="AZ48" i="4"/>
  <c r="AY48" i="4"/>
  <c r="AX48" i="4"/>
  <c r="AW48" i="4"/>
  <c r="AV48" i="4"/>
  <c r="AU48" i="4"/>
  <c r="AT48" i="4"/>
  <c r="AS48" i="4"/>
  <c r="AR48" i="4"/>
  <c r="AQ48" i="4"/>
  <c r="AP48" i="4"/>
  <c r="AO48" i="4"/>
  <c r="AM48" i="4"/>
  <c r="AL48" i="4"/>
  <c r="AK48" i="4"/>
  <c r="AJ48" i="4"/>
  <c r="AI48" i="4"/>
  <c r="AH48" i="4"/>
  <c r="AG48" i="4"/>
  <c r="AF48" i="4"/>
  <c r="AE48" i="4"/>
  <c r="AD48" i="4"/>
  <c r="AC48" i="4"/>
  <c r="AB48" i="4"/>
  <c r="AZ47" i="4"/>
  <c r="AY47" i="4"/>
  <c r="AX47" i="4"/>
  <c r="AW47" i="4"/>
  <c r="AV47" i="4"/>
  <c r="AU47" i="4"/>
  <c r="AT47" i="4"/>
  <c r="AS47" i="4"/>
  <c r="AR47" i="4"/>
  <c r="AQ47" i="4"/>
  <c r="AP47" i="4"/>
  <c r="AO47" i="4"/>
  <c r="AM47" i="4"/>
  <c r="AL47" i="4"/>
  <c r="AK47" i="4"/>
  <c r="AJ47" i="4"/>
  <c r="AI47" i="4"/>
  <c r="AH47" i="4"/>
  <c r="AG47" i="4"/>
  <c r="AF47" i="4"/>
  <c r="AE47" i="4"/>
  <c r="AD47" i="4"/>
  <c r="AC47" i="4"/>
  <c r="AB47" i="4"/>
  <c r="AZ46" i="4"/>
  <c r="AY46" i="4"/>
  <c r="AX46" i="4"/>
  <c r="AW46" i="4"/>
  <c r="AV46" i="4"/>
  <c r="AU46" i="4"/>
  <c r="AT46" i="4"/>
  <c r="AS46" i="4"/>
  <c r="AR46" i="4"/>
  <c r="AQ46" i="4"/>
  <c r="AP46" i="4"/>
  <c r="AO46" i="4"/>
  <c r="AM46" i="4"/>
  <c r="AL46" i="4"/>
  <c r="AK46" i="4"/>
  <c r="AJ46" i="4"/>
  <c r="AI46" i="4"/>
  <c r="AH46" i="4"/>
  <c r="AG46" i="4"/>
  <c r="AF46" i="4"/>
  <c r="AE46" i="4"/>
  <c r="AD46" i="4"/>
  <c r="AC46" i="4"/>
  <c r="AB46" i="4"/>
  <c r="AZ45" i="4"/>
  <c r="AY45" i="4"/>
  <c r="AX45" i="4"/>
  <c r="AW45" i="4"/>
  <c r="AV45" i="4"/>
  <c r="AU45" i="4"/>
  <c r="AT45" i="4"/>
  <c r="AS45" i="4"/>
  <c r="AR45" i="4"/>
  <c r="AQ45" i="4"/>
  <c r="AP45" i="4"/>
  <c r="AO45" i="4"/>
  <c r="AM45" i="4"/>
  <c r="AL45" i="4"/>
  <c r="AK45" i="4"/>
  <c r="AJ45" i="4"/>
  <c r="AI45" i="4"/>
  <c r="AH45" i="4"/>
  <c r="AG45" i="4"/>
  <c r="AF45" i="4"/>
  <c r="AE45" i="4"/>
  <c r="AD45" i="4"/>
  <c r="AC45" i="4"/>
  <c r="AB45" i="4"/>
  <c r="AZ44" i="4"/>
  <c r="AY44" i="4"/>
  <c r="AX44" i="4"/>
  <c r="AW44" i="4"/>
  <c r="AV44" i="4"/>
  <c r="AU44" i="4"/>
  <c r="AT44" i="4"/>
  <c r="AS44" i="4"/>
  <c r="AR44" i="4"/>
  <c r="AQ44" i="4"/>
  <c r="AP44" i="4"/>
  <c r="AO44" i="4"/>
  <c r="AM44" i="4"/>
  <c r="AL44" i="4"/>
  <c r="AK44" i="4"/>
  <c r="AJ44" i="4"/>
  <c r="AI44" i="4"/>
  <c r="AH44" i="4"/>
  <c r="AG44" i="4"/>
  <c r="AF44" i="4"/>
  <c r="AE44" i="4"/>
  <c r="AD44" i="4"/>
  <c r="AC44" i="4"/>
  <c r="AB44" i="4"/>
  <c r="AZ43" i="4"/>
  <c r="AY43" i="4"/>
  <c r="AX43" i="4"/>
  <c r="AW43" i="4"/>
  <c r="AV43" i="4"/>
  <c r="AU43" i="4"/>
  <c r="AT43" i="4"/>
  <c r="AS43" i="4"/>
  <c r="AR43" i="4"/>
  <c r="AQ43" i="4"/>
  <c r="AP43" i="4"/>
  <c r="AO43" i="4"/>
  <c r="AM43" i="4"/>
  <c r="AL43" i="4"/>
  <c r="AK43" i="4"/>
  <c r="AJ43" i="4"/>
  <c r="AI43" i="4"/>
  <c r="AH43" i="4"/>
  <c r="AG43" i="4"/>
  <c r="AF43" i="4"/>
  <c r="AE43" i="4"/>
  <c r="AD43" i="4"/>
  <c r="AC43" i="4"/>
  <c r="AB43" i="4"/>
  <c r="AZ42" i="4"/>
  <c r="AY42" i="4"/>
  <c r="AX42" i="4"/>
  <c r="AW42" i="4"/>
  <c r="AV42" i="4"/>
  <c r="AU42" i="4"/>
  <c r="AT42" i="4"/>
  <c r="AS42" i="4"/>
  <c r="AR42" i="4"/>
  <c r="AQ42" i="4"/>
  <c r="AP42" i="4"/>
  <c r="AO42" i="4"/>
  <c r="AM42" i="4"/>
  <c r="AL42" i="4"/>
  <c r="AK42" i="4"/>
  <c r="AJ42" i="4"/>
  <c r="AI42" i="4"/>
  <c r="AH42" i="4"/>
  <c r="AG42" i="4"/>
  <c r="AF42" i="4"/>
  <c r="AE42" i="4"/>
  <c r="AD42" i="4"/>
  <c r="AC42" i="4"/>
  <c r="AB42" i="4"/>
  <c r="AZ41" i="4"/>
  <c r="AY41" i="4"/>
  <c r="AX41" i="4"/>
  <c r="AW41" i="4"/>
  <c r="AV41" i="4"/>
  <c r="AU41" i="4"/>
  <c r="AT41" i="4"/>
  <c r="AS41" i="4"/>
  <c r="AR41" i="4"/>
  <c r="AQ41" i="4"/>
  <c r="AP41" i="4"/>
  <c r="AO41" i="4"/>
  <c r="AM41" i="4"/>
  <c r="AL41" i="4"/>
  <c r="AK41" i="4"/>
  <c r="AJ41" i="4"/>
  <c r="AI41" i="4"/>
  <c r="AH41" i="4"/>
  <c r="AG41" i="4"/>
  <c r="AF41" i="4"/>
  <c r="AE41" i="4"/>
  <c r="AD41" i="4"/>
  <c r="AC41" i="4"/>
  <c r="AB41" i="4"/>
  <c r="AZ40" i="4"/>
  <c r="AY40" i="4"/>
  <c r="AX40" i="4"/>
  <c r="AW40" i="4"/>
  <c r="AV40" i="4"/>
  <c r="AU40" i="4"/>
  <c r="AT40" i="4"/>
  <c r="AS40" i="4"/>
  <c r="AR40" i="4"/>
  <c r="AQ40" i="4"/>
  <c r="AP40" i="4"/>
  <c r="AO40" i="4"/>
  <c r="AM40" i="4"/>
  <c r="AL40" i="4"/>
  <c r="AK40" i="4"/>
  <c r="AJ40" i="4"/>
  <c r="AI40" i="4"/>
  <c r="AH40" i="4"/>
  <c r="AG40" i="4"/>
  <c r="AF40" i="4"/>
  <c r="AE40" i="4"/>
  <c r="AD40" i="4"/>
  <c r="AC40" i="4"/>
  <c r="AB40" i="4"/>
  <c r="AZ39" i="4"/>
  <c r="AY39" i="4"/>
  <c r="AX39" i="4"/>
  <c r="AW39" i="4"/>
  <c r="AV39" i="4"/>
  <c r="AU39" i="4"/>
  <c r="AT39" i="4"/>
  <c r="AS39" i="4"/>
  <c r="AR39" i="4"/>
  <c r="AQ39" i="4"/>
  <c r="AP39" i="4"/>
  <c r="AO39" i="4"/>
  <c r="AM39" i="4"/>
  <c r="AL39" i="4"/>
  <c r="AK39" i="4"/>
  <c r="AJ39" i="4"/>
  <c r="AI39" i="4"/>
  <c r="AH39" i="4"/>
  <c r="AG39" i="4"/>
  <c r="AF39" i="4"/>
  <c r="AE39" i="4"/>
  <c r="AD39" i="4"/>
  <c r="AC39" i="4"/>
  <c r="AB39" i="4"/>
  <c r="AZ38" i="4"/>
  <c r="AY38" i="4"/>
  <c r="AX38" i="4"/>
  <c r="AW38" i="4"/>
  <c r="AV38" i="4"/>
  <c r="AU38" i="4"/>
  <c r="AT38" i="4"/>
  <c r="AS38" i="4"/>
  <c r="AR38" i="4"/>
  <c r="AQ38" i="4"/>
  <c r="AP38" i="4"/>
  <c r="AO38" i="4"/>
  <c r="AM38" i="4"/>
  <c r="AL38" i="4"/>
  <c r="AK38" i="4"/>
  <c r="AJ38" i="4"/>
  <c r="AI38" i="4"/>
  <c r="AH38" i="4"/>
  <c r="AG38" i="4"/>
  <c r="AF38" i="4"/>
  <c r="AE38" i="4"/>
  <c r="AD38" i="4"/>
  <c r="AC38" i="4"/>
  <c r="AB38" i="4"/>
  <c r="AZ37" i="4"/>
  <c r="AY37" i="4"/>
  <c r="AX37" i="4"/>
  <c r="AW37" i="4"/>
  <c r="AV37" i="4"/>
  <c r="AU37" i="4"/>
  <c r="AT37" i="4"/>
  <c r="AS37" i="4"/>
  <c r="AR37" i="4"/>
  <c r="AQ37" i="4"/>
  <c r="AP37" i="4"/>
  <c r="AO37" i="4"/>
  <c r="AM37" i="4"/>
  <c r="AL37" i="4"/>
  <c r="AK37" i="4"/>
  <c r="AJ37" i="4"/>
  <c r="AI37" i="4"/>
  <c r="AH37" i="4"/>
  <c r="AG37" i="4"/>
  <c r="AF37" i="4"/>
  <c r="AE37" i="4"/>
  <c r="AD37" i="4"/>
  <c r="AC37" i="4"/>
  <c r="AB37" i="4"/>
  <c r="AZ36" i="4"/>
  <c r="AY36" i="4"/>
  <c r="AX36" i="4"/>
  <c r="AW36" i="4"/>
  <c r="AV36" i="4"/>
  <c r="AU36" i="4"/>
  <c r="AT36" i="4"/>
  <c r="AS36" i="4"/>
  <c r="AR36" i="4"/>
  <c r="AQ36" i="4"/>
  <c r="AP36" i="4"/>
  <c r="AO36" i="4"/>
  <c r="AM36" i="4"/>
  <c r="AL36" i="4"/>
  <c r="AK36" i="4"/>
  <c r="AJ36" i="4"/>
  <c r="AI36" i="4"/>
  <c r="AH36" i="4"/>
  <c r="AG36" i="4"/>
  <c r="AF36" i="4"/>
  <c r="AE36" i="4"/>
  <c r="AD36" i="4"/>
  <c r="AC36" i="4"/>
  <c r="AB36" i="4"/>
  <c r="AZ35" i="4"/>
  <c r="AY35" i="4"/>
  <c r="AX35" i="4"/>
  <c r="AW35" i="4"/>
  <c r="AV35" i="4"/>
  <c r="AU35" i="4"/>
  <c r="AT35" i="4"/>
  <c r="AS35" i="4"/>
  <c r="AR35" i="4"/>
  <c r="AQ35" i="4"/>
  <c r="AP35" i="4"/>
  <c r="AO35" i="4"/>
  <c r="AM35" i="4"/>
  <c r="AL35" i="4"/>
  <c r="AK35" i="4"/>
  <c r="AJ35" i="4"/>
  <c r="AI35" i="4"/>
  <c r="AH35" i="4"/>
  <c r="AG35" i="4"/>
  <c r="AF35" i="4"/>
  <c r="AE35" i="4"/>
  <c r="AD35" i="4"/>
  <c r="AC35" i="4"/>
  <c r="AB35" i="4"/>
  <c r="AZ34" i="4"/>
  <c r="AY34" i="4"/>
  <c r="AX34" i="4"/>
  <c r="AW34" i="4"/>
  <c r="AV34" i="4"/>
  <c r="AU34" i="4"/>
  <c r="AT34" i="4"/>
  <c r="AS34" i="4"/>
  <c r="AR34" i="4"/>
  <c r="AQ34" i="4"/>
  <c r="AP34" i="4"/>
  <c r="AO34" i="4"/>
  <c r="AM34" i="4"/>
  <c r="AL34" i="4"/>
  <c r="AK34" i="4"/>
  <c r="AJ34" i="4"/>
  <c r="AI34" i="4"/>
  <c r="AH34" i="4"/>
  <c r="AG34" i="4"/>
  <c r="AF34" i="4"/>
  <c r="AE34" i="4"/>
  <c r="AD34" i="4"/>
  <c r="AC34" i="4"/>
  <c r="AB34" i="4"/>
  <c r="AZ33" i="4"/>
  <c r="AY33" i="4"/>
  <c r="AX33" i="4"/>
  <c r="AW33" i="4"/>
  <c r="AV33" i="4"/>
  <c r="AU33" i="4"/>
  <c r="AT33" i="4"/>
  <c r="AS33" i="4"/>
  <c r="AR33" i="4"/>
  <c r="AQ33" i="4"/>
  <c r="AP33" i="4"/>
  <c r="AO33" i="4"/>
  <c r="AM33" i="4"/>
  <c r="AL33" i="4"/>
  <c r="AK33" i="4"/>
  <c r="AJ33" i="4"/>
  <c r="AI33" i="4"/>
  <c r="AH33" i="4"/>
  <c r="AG33" i="4"/>
  <c r="AF33" i="4"/>
  <c r="AE33" i="4"/>
  <c r="AD33" i="4"/>
  <c r="AC33" i="4"/>
  <c r="AB33" i="4"/>
  <c r="AZ32" i="4"/>
  <c r="AY32" i="4"/>
  <c r="AX32" i="4"/>
  <c r="AW32" i="4"/>
  <c r="AV32" i="4"/>
  <c r="AU32" i="4"/>
  <c r="AT32" i="4"/>
  <c r="AS32" i="4"/>
  <c r="AR32" i="4"/>
  <c r="AQ32" i="4"/>
  <c r="AP32" i="4"/>
  <c r="AO32" i="4"/>
  <c r="AM32" i="4"/>
  <c r="AL32" i="4"/>
  <c r="AK32" i="4"/>
  <c r="AJ32" i="4"/>
  <c r="AI32" i="4"/>
  <c r="AH32" i="4"/>
  <c r="AG32" i="4"/>
  <c r="AF32" i="4"/>
  <c r="AE32" i="4"/>
  <c r="AD32" i="4"/>
  <c r="AC32" i="4"/>
  <c r="AB32" i="4"/>
  <c r="AZ31" i="4"/>
  <c r="AY31" i="4"/>
  <c r="AX31" i="4"/>
  <c r="AW31" i="4"/>
  <c r="AV31" i="4"/>
  <c r="AU31" i="4"/>
  <c r="AT31" i="4"/>
  <c r="AS31" i="4"/>
  <c r="AR31" i="4"/>
  <c r="AQ31" i="4"/>
  <c r="AP31" i="4"/>
  <c r="AO31" i="4"/>
  <c r="AM31" i="4"/>
  <c r="AL31" i="4"/>
  <c r="AK31" i="4"/>
  <c r="AJ31" i="4"/>
  <c r="AI31" i="4"/>
  <c r="AH31" i="4"/>
  <c r="AG31" i="4"/>
  <c r="AF31" i="4"/>
  <c r="AE31" i="4"/>
  <c r="AD31" i="4"/>
  <c r="AC31" i="4"/>
  <c r="AB31" i="4"/>
  <c r="AZ30" i="4"/>
  <c r="AY30" i="4"/>
  <c r="AX30" i="4"/>
  <c r="AW30" i="4"/>
  <c r="AV30" i="4"/>
  <c r="AU30" i="4"/>
  <c r="AT30" i="4"/>
  <c r="AS30" i="4"/>
  <c r="AR30" i="4"/>
  <c r="AQ30" i="4"/>
  <c r="AP30" i="4"/>
  <c r="AO30" i="4"/>
  <c r="AM30" i="4"/>
  <c r="AL30" i="4"/>
  <c r="AK30" i="4"/>
  <c r="AJ30" i="4"/>
  <c r="AI30" i="4"/>
  <c r="AH30" i="4"/>
  <c r="AG30" i="4"/>
  <c r="AF30" i="4"/>
  <c r="AE30" i="4"/>
  <c r="AD30" i="4"/>
  <c r="AC30" i="4"/>
  <c r="AB30" i="4"/>
  <c r="AZ29" i="4"/>
  <c r="AY29" i="4"/>
  <c r="AX29" i="4"/>
  <c r="AW29" i="4"/>
  <c r="AV29" i="4"/>
  <c r="AU29" i="4"/>
  <c r="AT29" i="4"/>
  <c r="AS29" i="4"/>
  <c r="AR29" i="4"/>
  <c r="AQ29" i="4"/>
  <c r="AP29" i="4"/>
  <c r="AO29" i="4"/>
  <c r="AM29" i="4"/>
  <c r="AL29" i="4"/>
  <c r="AK29" i="4"/>
  <c r="AJ29" i="4"/>
  <c r="AI29" i="4"/>
  <c r="AH29" i="4"/>
  <c r="AG29" i="4"/>
  <c r="AF29" i="4"/>
  <c r="AE29" i="4"/>
  <c r="AD29" i="4"/>
  <c r="AC29" i="4"/>
  <c r="AB29" i="4"/>
  <c r="AZ28" i="4"/>
  <c r="AY28" i="4"/>
  <c r="AX28" i="4"/>
  <c r="AW28" i="4"/>
  <c r="AV28" i="4"/>
  <c r="AU28" i="4"/>
  <c r="AT28" i="4"/>
  <c r="AS28" i="4"/>
  <c r="AR28" i="4"/>
  <c r="AQ28" i="4"/>
  <c r="AP28" i="4"/>
  <c r="AO28" i="4"/>
  <c r="AM28" i="4"/>
  <c r="AL28" i="4"/>
  <c r="AK28" i="4"/>
  <c r="AJ28" i="4"/>
  <c r="AI28" i="4"/>
  <c r="AH28" i="4"/>
  <c r="AG28" i="4"/>
  <c r="AF28" i="4"/>
  <c r="AE28" i="4"/>
  <c r="AD28" i="4"/>
  <c r="AC28" i="4"/>
  <c r="AB28" i="4"/>
  <c r="AZ27" i="4"/>
  <c r="AY27" i="4"/>
  <c r="AX27" i="4"/>
  <c r="AW27" i="4"/>
  <c r="AV27" i="4"/>
  <c r="AU27" i="4"/>
  <c r="AT27" i="4"/>
  <c r="AS27" i="4"/>
  <c r="AR27" i="4"/>
  <c r="AQ27" i="4"/>
  <c r="AP27" i="4"/>
  <c r="AO27" i="4"/>
  <c r="AM27" i="4"/>
  <c r="AL27" i="4"/>
  <c r="AK27" i="4"/>
  <c r="AJ27" i="4"/>
  <c r="AI27" i="4"/>
  <c r="AH27" i="4"/>
  <c r="AG27" i="4"/>
  <c r="AF27" i="4"/>
  <c r="AE27" i="4"/>
  <c r="AD27" i="4"/>
  <c r="AC27" i="4"/>
  <c r="AB27" i="4"/>
  <c r="AZ26" i="4"/>
  <c r="AY26" i="4"/>
  <c r="AX26" i="4"/>
  <c r="AW26" i="4"/>
  <c r="AV26" i="4"/>
  <c r="AU26" i="4"/>
  <c r="AT26" i="4"/>
  <c r="AS26" i="4"/>
  <c r="AR26" i="4"/>
  <c r="AQ26" i="4"/>
  <c r="AP26" i="4"/>
  <c r="AO26" i="4"/>
  <c r="AM26" i="4"/>
  <c r="AL26" i="4"/>
  <c r="AK26" i="4"/>
  <c r="AJ26" i="4"/>
  <c r="AI26" i="4"/>
  <c r="AH26" i="4"/>
  <c r="AG26" i="4"/>
  <c r="AF26" i="4"/>
  <c r="AE26" i="4"/>
  <c r="AD26" i="4"/>
  <c r="AC26" i="4"/>
  <c r="AB26" i="4"/>
  <c r="AZ25" i="4"/>
  <c r="AY25" i="4"/>
  <c r="AX25" i="4"/>
  <c r="AW25" i="4"/>
  <c r="AV25" i="4"/>
  <c r="AU25" i="4"/>
  <c r="AT25" i="4"/>
  <c r="AS25" i="4"/>
  <c r="AR25" i="4"/>
  <c r="AQ25" i="4"/>
  <c r="AP25" i="4"/>
  <c r="AO25" i="4"/>
  <c r="AM25" i="4"/>
  <c r="AL25" i="4"/>
  <c r="AK25" i="4"/>
  <c r="AJ25" i="4"/>
  <c r="AI25" i="4"/>
  <c r="AH25" i="4"/>
  <c r="AG25" i="4"/>
  <c r="AF25" i="4"/>
  <c r="AE25" i="4"/>
  <c r="AD25" i="4"/>
  <c r="AC25" i="4"/>
  <c r="AB25" i="4"/>
  <c r="AZ24" i="4"/>
  <c r="AY24" i="4"/>
  <c r="AX24" i="4"/>
  <c r="AW24" i="4"/>
  <c r="AV24" i="4"/>
  <c r="AU24" i="4"/>
  <c r="AT24" i="4"/>
  <c r="AS24" i="4"/>
  <c r="AR24" i="4"/>
  <c r="AQ24" i="4"/>
  <c r="AP24" i="4"/>
  <c r="AO24" i="4"/>
  <c r="AM24" i="4"/>
  <c r="AL24" i="4"/>
  <c r="AK24" i="4"/>
  <c r="AJ24" i="4"/>
  <c r="AI24" i="4"/>
  <c r="AH24" i="4"/>
  <c r="AG24" i="4"/>
  <c r="AF24" i="4"/>
  <c r="AE24" i="4"/>
  <c r="AD24" i="4"/>
  <c r="AC24" i="4"/>
  <c r="AB24" i="4"/>
  <c r="AZ23" i="4"/>
  <c r="AY23" i="4"/>
  <c r="AX23" i="4"/>
  <c r="AW23" i="4"/>
  <c r="AV23" i="4"/>
  <c r="AU23" i="4"/>
  <c r="AT23" i="4"/>
  <c r="AS23" i="4"/>
  <c r="AR23" i="4"/>
  <c r="AQ23" i="4"/>
  <c r="AP23" i="4"/>
  <c r="AO23" i="4"/>
  <c r="AM23" i="4"/>
  <c r="AL23" i="4"/>
  <c r="AK23" i="4"/>
  <c r="AJ23" i="4"/>
  <c r="AI23" i="4"/>
  <c r="AH23" i="4"/>
  <c r="AG23" i="4"/>
  <c r="AF23" i="4"/>
  <c r="AE23" i="4"/>
  <c r="AD23" i="4"/>
  <c r="AC23" i="4"/>
  <c r="AB23" i="4"/>
  <c r="AZ22" i="4"/>
  <c r="AY22" i="4"/>
  <c r="AX22" i="4"/>
  <c r="AW22" i="4"/>
  <c r="AV22" i="4"/>
  <c r="AU22" i="4"/>
  <c r="AT22" i="4"/>
  <c r="AS22" i="4"/>
  <c r="AR22" i="4"/>
  <c r="AQ22" i="4"/>
  <c r="AP22" i="4"/>
  <c r="AO22" i="4"/>
  <c r="AM22" i="4"/>
  <c r="AL22" i="4"/>
  <c r="AK22" i="4"/>
  <c r="AJ22" i="4"/>
  <c r="AI22" i="4"/>
  <c r="AH22" i="4"/>
  <c r="AG22" i="4"/>
  <c r="AF22" i="4"/>
  <c r="AE22" i="4"/>
  <c r="AD22" i="4"/>
  <c r="AC22" i="4"/>
  <c r="AB22" i="4"/>
  <c r="AZ21" i="4"/>
  <c r="AY21" i="4"/>
  <c r="AX21" i="4"/>
  <c r="AW21" i="4"/>
  <c r="AV21" i="4"/>
  <c r="AU21" i="4"/>
  <c r="AT21" i="4"/>
  <c r="AS21" i="4"/>
  <c r="AR21" i="4"/>
  <c r="AQ21" i="4"/>
  <c r="AP21" i="4"/>
  <c r="AO21" i="4"/>
  <c r="AM21" i="4"/>
  <c r="AL21" i="4"/>
  <c r="AK21" i="4"/>
  <c r="AJ21" i="4"/>
  <c r="AI21" i="4"/>
  <c r="AH21" i="4"/>
  <c r="AG21" i="4"/>
  <c r="AF21" i="4"/>
  <c r="AE21" i="4"/>
  <c r="AD21" i="4"/>
  <c r="AC21" i="4"/>
  <c r="AB21" i="4"/>
  <c r="AZ20" i="4"/>
  <c r="AY20" i="4"/>
  <c r="AX20" i="4"/>
  <c r="AW20" i="4"/>
  <c r="AV20" i="4"/>
  <c r="AU20" i="4"/>
  <c r="AT20" i="4"/>
  <c r="AS20" i="4"/>
  <c r="AR20" i="4"/>
  <c r="AQ20" i="4"/>
  <c r="AP20" i="4"/>
  <c r="AO20" i="4"/>
  <c r="AM20" i="4"/>
  <c r="AL20" i="4"/>
  <c r="AK20" i="4"/>
  <c r="AJ20" i="4"/>
  <c r="AI20" i="4"/>
  <c r="AH20" i="4"/>
  <c r="AG20" i="4"/>
  <c r="AF20" i="4"/>
  <c r="AE20" i="4"/>
  <c r="AD20" i="4"/>
  <c r="AC20" i="4"/>
  <c r="AB20" i="4"/>
  <c r="AZ19" i="4"/>
  <c r="AY19" i="4"/>
  <c r="AX19" i="4"/>
  <c r="AW19" i="4"/>
  <c r="AV19" i="4"/>
  <c r="AU19" i="4"/>
  <c r="AT19" i="4"/>
  <c r="AS19" i="4"/>
  <c r="AR19" i="4"/>
  <c r="AQ19" i="4"/>
  <c r="AP19" i="4"/>
  <c r="AO19" i="4"/>
  <c r="AM19" i="4"/>
  <c r="AL19" i="4"/>
  <c r="AK19" i="4"/>
  <c r="AJ19" i="4"/>
  <c r="AI19" i="4"/>
  <c r="AH19" i="4"/>
  <c r="AG19" i="4"/>
  <c r="AF19" i="4"/>
  <c r="AE19" i="4"/>
  <c r="AD19" i="4"/>
  <c r="AC19" i="4"/>
  <c r="AB19" i="4"/>
  <c r="AZ18" i="4"/>
  <c r="AY18" i="4"/>
  <c r="AX18" i="4"/>
  <c r="AW18" i="4"/>
  <c r="AV18" i="4"/>
  <c r="AU18" i="4"/>
  <c r="AT18" i="4"/>
  <c r="AS18" i="4"/>
  <c r="AR18" i="4"/>
  <c r="AQ18" i="4"/>
  <c r="AP18" i="4"/>
  <c r="AO18" i="4"/>
  <c r="AM18" i="4"/>
  <c r="AL18" i="4"/>
  <c r="AK18" i="4"/>
  <c r="AJ18" i="4"/>
  <c r="AI18" i="4"/>
  <c r="AH18" i="4"/>
  <c r="AG18" i="4"/>
  <c r="AF18" i="4"/>
  <c r="AE18" i="4"/>
  <c r="AD18" i="4"/>
  <c r="AC18" i="4"/>
  <c r="AB18" i="4"/>
  <c r="AZ17" i="4"/>
  <c r="AY17" i="4"/>
  <c r="AX17" i="4"/>
  <c r="AW17" i="4"/>
  <c r="AV17" i="4"/>
  <c r="AU17" i="4"/>
  <c r="AT17" i="4"/>
  <c r="AS17" i="4"/>
  <c r="AR17" i="4"/>
  <c r="AQ17" i="4"/>
  <c r="AP17" i="4"/>
  <c r="AO17" i="4"/>
  <c r="AM17" i="4"/>
  <c r="AL17" i="4"/>
  <c r="AK17" i="4"/>
  <c r="AJ17" i="4"/>
  <c r="AI17" i="4"/>
  <c r="AH17" i="4"/>
  <c r="AG17" i="4"/>
  <c r="AF17" i="4"/>
  <c r="AE17" i="4"/>
  <c r="AD17" i="4"/>
  <c r="AC17" i="4"/>
  <c r="AB17" i="4"/>
  <c r="AZ16" i="4"/>
  <c r="AY16" i="4"/>
  <c r="AX16" i="4"/>
  <c r="AW16" i="4"/>
  <c r="AV16" i="4"/>
  <c r="AU16" i="4"/>
  <c r="AT16" i="4"/>
  <c r="AS16" i="4"/>
  <c r="AR16" i="4"/>
  <c r="AQ16" i="4"/>
  <c r="AP16" i="4"/>
  <c r="AO16" i="4"/>
  <c r="AM16" i="4"/>
  <c r="AL16" i="4"/>
  <c r="AK16" i="4"/>
  <c r="AJ16" i="4"/>
  <c r="AI16" i="4"/>
  <c r="AH16" i="4"/>
  <c r="AG16" i="4"/>
  <c r="AF16" i="4"/>
  <c r="AE16" i="4"/>
  <c r="AD16" i="4"/>
  <c r="AC16" i="4"/>
  <c r="AB16" i="4"/>
  <c r="AZ10" i="4"/>
  <c r="AZ11" i="4"/>
  <c r="AZ12" i="4"/>
  <c r="AZ13" i="4"/>
  <c r="AZ14" i="4"/>
  <c r="AZ15" i="4"/>
  <c r="BM10" i="4"/>
  <c r="BM11" i="4"/>
  <c r="BM12" i="4"/>
  <c r="BM13" i="4"/>
  <c r="BM14" i="4"/>
  <c r="BM15" i="4"/>
  <c r="AY10" i="4"/>
  <c r="AY11" i="4"/>
  <c r="AY12" i="4"/>
  <c r="AY13" i="4"/>
  <c r="AY14" i="4"/>
  <c r="AY15" i="4"/>
  <c r="BL10" i="4"/>
  <c r="BL11" i="4"/>
  <c r="BL12" i="4"/>
  <c r="BL13" i="4"/>
  <c r="BL14" i="4"/>
  <c r="BL15" i="4"/>
  <c r="AX10" i="4"/>
  <c r="AX11" i="4"/>
  <c r="AX12" i="4"/>
  <c r="AX13" i="4"/>
  <c r="AX14" i="4"/>
  <c r="AX15" i="4"/>
  <c r="BK10" i="4"/>
  <c r="BK11" i="4"/>
  <c r="BK12" i="4"/>
  <c r="BK13" i="4"/>
  <c r="BK14" i="4"/>
  <c r="BK15" i="4"/>
  <c r="AW10" i="4"/>
  <c r="AW11" i="4"/>
  <c r="AW12" i="4"/>
  <c r="AW13" i="4"/>
  <c r="AW14" i="4"/>
  <c r="AW15" i="4"/>
  <c r="BJ10" i="4"/>
  <c r="BJ11" i="4"/>
  <c r="BJ12" i="4"/>
  <c r="BJ13" i="4"/>
  <c r="BJ14" i="4"/>
  <c r="BJ15" i="4"/>
  <c r="AV10" i="4"/>
  <c r="AV11" i="4"/>
  <c r="AV12" i="4"/>
  <c r="AV13" i="4"/>
  <c r="AV14" i="4"/>
  <c r="AV15" i="4"/>
  <c r="BI10" i="4"/>
  <c r="BI11" i="4"/>
  <c r="BI12" i="4"/>
  <c r="BI13" i="4"/>
  <c r="BI14" i="4"/>
  <c r="BI15" i="4"/>
  <c r="AU10" i="4"/>
  <c r="AU11" i="4"/>
  <c r="AU12" i="4"/>
  <c r="AU13" i="4"/>
  <c r="AU14" i="4"/>
  <c r="AU15" i="4"/>
  <c r="BH10" i="4"/>
  <c r="BH11" i="4"/>
  <c r="BH12" i="4"/>
  <c r="BH13" i="4"/>
  <c r="BH14" i="4"/>
  <c r="BH15" i="4"/>
  <c r="AT10" i="4"/>
  <c r="AT11" i="4"/>
  <c r="AT12" i="4"/>
  <c r="AT13" i="4"/>
  <c r="AT14" i="4"/>
  <c r="AT15" i="4"/>
  <c r="BG10" i="4"/>
  <c r="BG11" i="4"/>
  <c r="BG12" i="4"/>
  <c r="BG13" i="4"/>
  <c r="BG14" i="4"/>
  <c r="BG15" i="4"/>
  <c r="AS10" i="4"/>
  <c r="AS11" i="4"/>
  <c r="AS12" i="4"/>
  <c r="AS13" i="4"/>
  <c r="AS14" i="4"/>
  <c r="AS15" i="4"/>
  <c r="BF10" i="4"/>
  <c r="BF11" i="4"/>
  <c r="BF12" i="4"/>
  <c r="BF13" i="4"/>
  <c r="BF14" i="4"/>
  <c r="BF15" i="4"/>
  <c r="AR10" i="4"/>
  <c r="AR11" i="4"/>
  <c r="AR12" i="4"/>
  <c r="AR13" i="4"/>
  <c r="AR14" i="4"/>
  <c r="AR15" i="4"/>
  <c r="BE10" i="4"/>
  <c r="BE11" i="4"/>
  <c r="BE12" i="4"/>
  <c r="BE13" i="4"/>
  <c r="BE14" i="4"/>
  <c r="BE15" i="4"/>
  <c r="AQ10" i="4"/>
  <c r="AQ11" i="4"/>
  <c r="AQ12" i="4"/>
  <c r="AQ13" i="4"/>
  <c r="AQ14" i="4"/>
  <c r="AQ15" i="4"/>
  <c r="BD10" i="4"/>
  <c r="BD11" i="4"/>
  <c r="BD12" i="4"/>
  <c r="BD13" i="4"/>
  <c r="BD14" i="4"/>
  <c r="BD15" i="4"/>
  <c r="AP10" i="4"/>
  <c r="AP11" i="4"/>
  <c r="AP12" i="4"/>
  <c r="AP13" i="4"/>
  <c r="AP14" i="4"/>
  <c r="AP15" i="4"/>
  <c r="BC10" i="4"/>
  <c r="BC11" i="4"/>
  <c r="BC12" i="4"/>
  <c r="BC13" i="4"/>
  <c r="BC14" i="4"/>
  <c r="BC15" i="4"/>
  <c r="AO10" i="4"/>
  <c r="AO11" i="4"/>
  <c r="AO12" i="4"/>
  <c r="AO13" i="4"/>
  <c r="AO14" i="4"/>
  <c r="AO15" i="4"/>
  <c r="BB10" i="4"/>
  <c r="BB11" i="4"/>
  <c r="BB12" i="4"/>
  <c r="BB13" i="4"/>
  <c r="BB14" i="4"/>
  <c r="BB15" i="4"/>
  <c r="AM15" i="4"/>
  <c r="AL15" i="4"/>
  <c r="AK15" i="4"/>
  <c r="AJ15" i="4"/>
  <c r="AI15" i="4"/>
  <c r="AH15" i="4"/>
  <c r="AG15" i="4"/>
  <c r="AF15" i="4"/>
  <c r="AE15" i="4"/>
  <c r="AD15" i="4"/>
  <c r="AC15" i="4"/>
  <c r="AB15" i="4"/>
  <c r="AM14" i="4"/>
  <c r="AL14" i="4"/>
  <c r="AK14" i="4"/>
  <c r="AJ14" i="4"/>
  <c r="AI14" i="4"/>
  <c r="AH14" i="4"/>
  <c r="AG14" i="4"/>
  <c r="AF14" i="4"/>
  <c r="AE14" i="4"/>
  <c r="AD14" i="4"/>
  <c r="AC14" i="4"/>
  <c r="AB14" i="4"/>
  <c r="AM13" i="4"/>
  <c r="AL13" i="4"/>
  <c r="AK13" i="4"/>
  <c r="AJ13" i="4"/>
  <c r="AI13" i="4"/>
  <c r="AH13" i="4"/>
  <c r="AG13" i="4"/>
  <c r="AF13" i="4"/>
  <c r="AE13" i="4"/>
  <c r="AD13" i="4"/>
  <c r="AC13" i="4"/>
  <c r="AB13" i="4"/>
  <c r="AM12" i="4"/>
  <c r="AL12" i="4"/>
  <c r="AK12" i="4"/>
  <c r="AJ12" i="4"/>
  <c r="AI12" i="4"/>
  <c r="AH12" i="4"/>
  <c r="AG12" i="4"/>
  <c r="AF12" i="4"/>
  <c r="AE12" i="4"/>
  <c r="AD12" i="4"/>
  <c r="AC12" i="4"/>
  <c r="AB12" i="4"/>
  <c r="AM11" i="4"/>
  <c r="AL11" i="4"/>
  <c r="AK11" i="4"/>
  <c r="AJ11" i="4"/>
  <c r="AI11" i="4"/>
  <c r="AH11" i="4"/>
  <c r="AG11" i="4"/>
  <c r="AF11" i="4"/>
  <c r="AE11" i="4"/>
  <c r="AD11" i="4"/>
  <c r="AC11" i="4"/>
  <c r="AB11" i="4"/>
  <c r="AM10" i="4"/>
  <c r="AL10" i="4"/>
  <c r="AK10" i="4"/>
  <c r="AJ10" i="4"/>
  <c r="AI10" i="4"/>
  <c r="AH10" i="4"/>
  <c r="AG10" i="4"/>
  <c r="AF10" i="4"/>
  <c r="AE10" i="4"/>
  <c r="AD10" i="4"/>
  <c r="AC10" i="4"/>
  <c r="AB10" i="4"/>
  <c r="AK9" i="3"/>
  <c r="AX10" i="3"/>
  <c r="AX11" i="3"/>
  <c r="AX12" i="3"/>
  <c r="AX13" i="3"/>
  <c r="AX14" i="3"/>
  <c r="AX15" i="3"/>
  <c r="AX16" i="3"/>
  <c r="AX17" i="3"/>
  <c r="AX18" i="3"/>
  <c r="AX19" i="3"/>
  <c r="AX20" i="3"/>
  <c r="AX21" i="3"/>
  <c r="AX22" i="3"/>
  <c r="AX23" i="3"/>
  <c r="AX24" i="3"/>
  <c r="AX25" i="3"/>
  <c r="AX26" i="3"/>
  <c r="AX27" i="3"/>
  <c r="AX28" i="3"/>
  <c r="AX29" i="3"/>
  <c r="AX30" i="3"/>
  <c r="AX31" i="3"/>
  <c r="AX32" i="3"/>
  <c r="AX33" i="3"/>
  <c r="AX34" i="3"/>
  <c r="AX35" i="3"/>
  <c r="AX36" i="3"/>
  <c r="AX37" i="3"/>
  <c r="AX38" i="3"/>
  <c r="AX39" i="3"/>
  <c r="AX40" i="3"/>
  <c r="AX41" i="3"/>
  <c r="AX42" i="3"/>
  <c r="AX43" i="3"/>
  <c r="AX44" i="3"/>
  <c r="AX45" i="3"/>
  <c r="AX46" i="3"/>
  <c r="AX47" i="3"/>
  <c r="AX48" i="3"/>
  <c r="AX49" i="3"/>
  <c r="AX50" i="3"/>
  <c r="AX51" i="3"/>
  <c r="AX52" i="3"/>
  <c r="AX53" i="3"/>
  <c r="AX54" i="3"/>
  <c r="AX55" i="3"/>
  <c r="AX56" i="3"/>
  <c r="AX57" i="3"/>
  <c r="AX58" i="3"/>
  <c r="AX59" i="3"/>
  <c r="AX60" i="3"/>
  <c r="AX61" i="3"/>
  <c r="AX62" i="3"/>
  <c r="AX63" i="3"/>
  <c r="AX64" i="3"/>
  <c r="AX65" i="3"/>
  <c r="AX66" i="3"/>
  <c r="AX67" i="3"/>
  <c r="AX68" i="3"/>
  <c r="AX69" i="3"/>
  <c r="AX70" i="3"/>
  <c r="AX71" i="3"/>
  <c r="AX72" i="3"/>
  <c r="AX73" i="3"/>
  <c r="AX74" i="3"/>
  <c r="AX75" i="3"/>
  <c r="AX76" i="3"/>
  <c r="AX77" i="3"/>
  <c r="AX78" i="3"/>
  <c r="AX79" i="3"/>
  <c r="AX80" i="3"/>
  <c r="AX81" i="3"/>
  <c r="AX82" i="3"/>
  <c r="AX83" i="3"/>
  <c r="AX84" i="3"/>
  <c r="AX85" i="3"/>
  <c r="AX86" i="3"/>
  <c r="AX87" i="3"/>
  <c r="AX88" i="3"/>
  <c r="AX89" i="3"/>
  <c r="AX90" i="3"/>
  <c r="AX91" i="3"/>
  <c r="AX92" i="3"/>
  <c r="AX93" i="3"/>
  <c r="AX94" i="3"/>
  <c r="AX95" i="3"/>
  <c r="AX96" i="3"/>
  <c r="AX97" i="3"/>
  <c r="AX98" i="3"/>
  <c r="AX99" i="3"/>
  <c r="AX100" i="3"/>
  <c r="BK10" i="3"/>
  <c r="BK11" i="3"/>
  <c r="BK12" i="3"/>
  <c r="BK13" i="3"/>
  <c r="BK14" i="3"/>
  <c r="AJ9" i="3"/>
  <c r="AW10" i="3"/>
  <c r="AW11" i="3"/>
  <c r="AW12" i="3"/>
  <c r="AW13" i="3"/>
  <c r="AW14" i="3"/>
  <c r="AW15" i="3"/>
  <c r="AW16" i="3"/>
  <c r="AW17" i="3"/>
  <c r="AW18" i="3"/>
  <c r="AW19" i="3"/>
  <c r="AW20" i="3"/>
  <c r="AW21" i="3"/>
  <c r="AW22" i="3"/>
  <c r="AW23" i="3"/>
  <c r="AW24" i="3"/>
  <c r="AW25" i="3"/>
  <c r="AW26" i="3"/>
  <c r="AW27" i="3"/>
  <c r="AW28" i="3"/>
  <c r="AW29" i="3"/>
  <c r="AW30" i="3"/>
  <c r="AW31" i="3"/>
  <c r="AW32" i="3"/>
  <c r="AW33" i="3"/>
  <c r="AW34" i="3"/>
  <c r="AW35" i="3"/>
  <c r="AW36" i="3"/>
  <c r="AW37" i="3"/>
  <c r="AW38" i="3"/>
  <c r="AW39" i="3"/>
  <c r="AW40" i="3"/>
  <c r="AW41" i="3"/>
  <c r="AW42" i="3"/>
  <c r="AW43" i="3"/>
  <c r="AW44" i="3"/>
  <c r="AW45" i="3"/>
  <c r="AW46" i="3"/>
  <c r="AW47" i="3"/>
  <c r="AW48" i="3"/>
  <c r="AW49" i="3"/>
  <c r="AW50" i="3"/>
  <c r="AW51" i="3"/>
  <c r="AW52" i="3"/>
  <c r="AW53" i="3"/>
  <c r="AW54" i="3"/>
  <c r="AW55" i="3"/>
  <c r="AW56" i="3"/>
  <c r="AW57" i="3"/>
  <c r="AW58" i="3"/>
  <c r="AW59" i="3"/>
  <c r="AW60" i="3"/>
  <c r="AW61" i="3"/>
  <c r="AW62" i="3"/>
  <c r="AW63" i="3"/>
  <c r="AW64" i="3"/>
  <c r="AW65" i="3"/>
  <c r="AW66" i="3"/>
  <c r="AW67" i="3"/>
  <c r="AW68" i="3"/>
  <c r="AW69" i="3"/>
  <c r="AW70" i="3"/>
  <c r="AW71" i="3"/>
  <c r="AW72" i="3"/>
  <c r="AW73" i="3"/>
  <c r="AW74" i="3"/>
  <c r="AW75" i="3"/>
  <c r="AW76" i="3"/>
  <c r="AW77" i="3"/>
  <c r="AW78" i="3"/>
  <c r="AW79" i="3"/>
  <c r="AW80" i="3"/>
  <c r="AW81" i="3"/>
  <c r="AW82" i="3"/>
  <c r="AW83" i="3"/>
  <c r="AW84" i="3"/>
  <c r="AW85" i="3"/>
  <c r="AW86" i="3"/>
  <c r="AW87" i="3"/>
  <c r="AW88" i="3"/>
  <c r="AW89" i="3"/>
  <c r="AW90" i="3"/>
  <c r="AW91" i="3"/>
  <c r="AW92" i="3"/>
  <c r="AW93" i="3"/>
  <c r="AW94" i="3"/>
  <c r="AW95" i="3"/>
  <c r="AW96" i="3"/>
  <c r="AW97" i="3"/>
  <c r="AW98" i="3"/>
  <c r="AW99" i="3"/>
  <c r="AW100" i="3"/>
  <c r="BJ10" i="3"/>
  <c r="BJ11" i="3"/>
  <c r="BJ12" i="3"/>
  <c r="BJ13" i="3"/>
  <c r="BJ14" i="3"/>
  <c r="AI9" i="3"/>
  <c r="AV10" i="3"/>
  <c r="AV11" i="3"/>
  <c r="AV12" i="3"/>
  <c r="AV13" i="3"/>
  <c r="AV14" i="3"/>
  <c r="AV15" i="3"/>
  <c r="AV16" i="3"/>
  <c r="AV17" i="3"/>
  <c r="AV18" i="3"/>
  <c r="AV19" i="3"/>
  <c r="AV20" i="3"/>
  <c r="AV21" i="3"/>
  <c r="AV22" i="3"/>
  <c r="AV23" i="3"/>
  <c r="AV24" i="3"/>
  <c r="AV25" i="3"/>
  <c r="AV26" i="3"/>
  <c r="AV27" i="3"/>
  <c r="AV28" i="3"/>
  <c r="AV29" i="3"/>
  <c r="AV30" i="3"/>
  <c r="AV31" i="3"/>
  <c r="AV32" i="3"/>
  <c r="AV33" i="3"/>
  <c r="AV34" i="3"/>
  <c r="AV35" i="3"/>
  <c r="AV36" i="3"/>
  <c r="AV37" i="3"/>
  <c r="AV38" i="3"/>
  <c r="AV39" i="3"/>
  <c r="AV40" i="3"/>
  <c r="AV41" i="3"/>
  <c r="AV42" i="3"/>
  <c r="AV43" i="3"/>
  <c r="AV44" i="3"/>
  <c r="AV45" i="3"/>
  <c r="AV46" i="3"/>
  <c r="AV47" i="3"/>
  <c r="AV48" i="3"/>
  <c r="AV49" i="3"/>
  <c r="AV50" i="3"/>
  <c r="AV51" i="3"/>
  <c r="AV52" i="3"/>
  <c r="AV53" i="3"/>
  <c r="AV54" i="3"/>
  <c r="AV55" i="3"/>
  <c r="AV56" i="3"/>
  <c r="AV57" i="3"/>
  <c r="AV58" i="3"/>
  <c r="AV59" i="3"/>
  <c r="AV60" i="3"/>
  <c r="AV61" i="3"/>
  <c r="AV62" i="3"/>
  <c r="AV63" i="3"/>
  <c r="AV64" i="3"/>
  <c r="AV65" i="3"/>
  <c r="AV66" i="3"/>
  <c r="AV67" i="3"/>
  <c r="AV68" i="3"/>
  <c r="AV69" i="3"/>
  <c r="AV70" i="3"/>
  <c r="AV71" i="3"/>
  <c r="AV72" i="3"/>
  <c r="AV73" i="3"/>
  <c r="AV74" i="3"/>
  <c r="AV75" i="3"/>
  <c r="AV76" i="3"/>
  <c r="AV77" i="3"/>
  <c r="AV78" i="3"/>
  <c r="AV79" i="3"/>
  <c r="AV80" i="3"/>
  <c r="AV81" i="3"/>
  <c r="AV82" i="3"/>
  <c r="AV83" i="3"/>
  <c r="AV84" i="3"/>
  <c r="AV85" i="3"/>
  <c r="AV86" i="3"/>
  <c r="AV87" i="3"/>
  <c r="AV88" i="3"/>
  <c r="AV89" i="3"/>
  <c r="AV90" i="3"/>
  <c r="AV91" i="3"/>
  <c r="AV92" i="3"/>
  <c r="AV93" i="3"/>
  <c r="AV94" i="3"/>
  <c r="AV95" i="3"/>
  <c r="AV96" i="3"/>
  <c r="AV97" i="3"/>
  <c r="AV98" i="3"/>
  <c r="AV99" i="3"/>
  <c r="AV100" i="3"/>
  <c r="BI10" i="3"/>
  <c r="BI11" i="3"/>
  <c r="BI12" i="3"/>
  <c r="BI13" i="3"/>
  <c r="BI14" i="3"/>
  <c r="AH9" i="3"/>
  <c r="AU10" i="3"/>
  <c r="AU11" i="3"/>
  <c r="AU12" i="3"/>
  <c r="AU13" i="3"/>
  <c r="AU14" i="3"/>
  <c r="AU15" i="3"/>
  <c r="AU16" i="3"/>
  <c r="AU17" i="3"/>
  <c r="AU18" i="3"/>
  <c r="AU19" i="3"/>
  <c r="AU20" i="3"/>
  <c r="AU21" i="3"/>
  <c r="AU22" i="3"/>
  <c r="AU23" i="3"/>
  <c r="AU24" i="3"/>
  <c r="AU25" i="3"/>
  <c r="AU26" i="3"/>
  <c r="AU27" i="3"/>
  <c r="AU28" i="3"/>
  <c r="AU29" i="3"/>
  <c r="AU30" i="3"/>
  <c r="AU31" i="3"/>
  <c r="AU32" i="3"/>
  <c r="AU33" i="3"/>
  <c r="AU34" i="3"/>
  <c r="AU35" i="3"/>
  <c r="AU36" i="3"/>
  <c r="AU37" i="3"/>
  <c r="AU38" i="3"/>
  <c r="AU39" i="3"/>
  <c r="AU40" i="3"/>
  <c r="AU41" i="3"/>
  <c r="AU42" i="3"/>
  <c r="AU43" i="3"/>
  <c r="AU44" i="3"/>
  <c r="AU45" i="3"/>
  <c r="AU46" i="3"/>
  <c r="AU47" i="3"/>
  <c r="AU48" i="3"/>
  <c r="AU49" i="3"/>
  <c r="AU50" i="3"/>
  <c r="AU51" i="3"/>
  <c r="AU52" i="3"/>
  <c r="AU53" i="3"/>
  <c r="AU54" i="3"/>
  <c r="AU55" i="3"/>
  <c r="AU56" i="3"/>
  <c r="AU57" i="3"/>
  <c r="AU58" i="3"/>
  <c r="AU59" i="3"/>
  <c r="AU60" i="3"/>
  <c r="AU61" i="3"/>
  <c r="AU62" i="3"/>
  <c r="AU63" i="3"/>
  <c r="AU64" i="3"/>
  <c r="AU65" i="3"/>
  <c r="AU66" i="3"/>
  <c r="AU67" i="3"/>
  <c r="AU68" i="3"/>
  <c r="AU69" i="3"/>
  <c r="AU70" i="3"/>
  <c r="AU71" i="3"/>
  <c r="AU72" i="3"/>
  <c r="AU73" i="3"/>
  <c r="AU74" i="3"/>
  <c r="AU75" i="3"/>
  <c r="AU76" i="3"/>
  <c r="AU77" i="3"/>
  <c r="AU78" i="3"/>
  <c r="AU79" i="3"/>
  <c r="AU80" i="3"/>
  <c r="AU81" i="3"/>
  <c r="AU82" i="3"/>
  <c r="AU83" i="3"/>
  <c r="AU84" i="3"/>
  <c r="AU85" i="3"/>
  <c r="AU86" i="3"/>
  <c r="AU87" i="3"/>
  <c r="AU88" i="3"/>
  <c r="AU89" i="3"/>
  <c r="AU90" i="3"/>
  <c r="AU91" i="3"/>
  <c r="AU92" i="3"/>
  <c r="AU93" i="3"/>
  <c r="AU94" i="3"/>
  <c r="AU95" i="3"/>
  <c r="AU96" i="3"/>
  <c r="AU97" i="3"/>
  <c r="AU98" i="3"/>
  <c r="AU99" i="3"/>
  <c r="AU100" i="3"/>
  <c r="BH10" i="3"/>
  <c r="BH11" i="3"/>
  <c r="BH12" i="3"/>
  <c r="BH13" i="3"/>
  <c r="BH14" i="3"/>
  <c r="AF9" i="3"/>
  <c r="AS10" i="3"/>
  <c r="AS11" i="3"/>
  <c r="AS12" i="3"/>
  <c r="AS13" i="3"/>
  <c r="AS14" i="3"/>
  <c r="AS15" i="3"/>
  <c r="AS16" i="3"/>
  <c r="AS17" i="3"/>
  <c r="AS18" i="3"/>
  <c r="AS19" i="3"/>
  <c r="AS20" i="3"/>
  <c r="AS21" i="3"/>
  <c r="AS22" i="3"/>
  <c r="AS23" i="3"/>
  <c r="AS24" i="3"/>
  <c r="AS25" i="3"/>
  <c r="AS26" i="3"/>
  <c r="AS27" i="3"/>
  <c r="AS28" i="3"/>
  <c r="AS29" i="3"/>
  <c r="AS30" i="3"/>
  <c r="AS31" i="3"/>
  <c r="AS32" i="3"/>
  <c r="AS33" i="3"/>
  <c r="AS34" i="3"/>
  <c r="AS35" i="3"/>
  <c r="AS36" i="3"/>
  <c r="AS37" i="3"/>
  <c r="AS38" i="3"/>
  <c r="AS39" i="3"/>
  <c r="AS40" i="3"/>
  <c r="AS41" i="3"/>
  <c r="AS42" i="3"/>
  <c r="AS43" i="3"/>
  <c r="AS44" i="3"/>
  <c r="AS45" i="3"/>
  <c r="AS46" i="3"/>
  <c r="AS47" i="3"/>
  <c r="AS48" i="3"/>
  <c r="AS49" i="3"/>
  <c r="AS50" i="3"/>
  <c r="AS51" i="3"/>
  <c r="AS52" i="3"/>
  <c r="AS53" i="3"/>
  <c r="AS54" i="3"/>
  <c r="AS55" i="3"/>
  <c r="AS56" i="3"/>
  <c r="AS57" i="3"/>
  <c r="AS58" i="3"/>
  <c r="AS59" i="3"/>
  <c r="AS60" i="3"/>
  <c r="AS61" i="3"/>
  <c r="AS62" i="3"/>
  <c r="AS63" i="3"/>
  <c r="AS64" i="3"/>
  <c r="AS65" i="3"/>
  <c r="AS66" i="3"/>
  <c r="AS67" i="3"/>
  <c r="AS68" i="3"/>
  <c r="AS69" i="3"/>
  <c r="AS70" i="3"/>
  <c r="AS71" i="3"/>
  <c r="AS72" i="3"/>
  <c r="AS73" i="3"/>
  <c r="AS74" i="3"/>
  <c r="AS75" i="3"/>
  <c r="AS76" i="3"/>
  <c r="AS77" i="3"/>
  <c r="AS78" i="3"/>
  <c r="AS79" i="3"/>
  <c r="AS80" i="3"/>
  <c r="AS81" i="3"/>
  <c r="AS82" i="3"/>
  <c r="AS83" i="3"/>
  <c r="AS84" i="3"/>
  <c r="AS85" i="3"/>
  <c r="AS86" i="3"/>
  <c r="AS87" i="3"/>
  <c r="AS88" i="3"/>
  <c r="AS89" i="3"/>
  <c r="AS90" i="3"/>
  <c r="AS91" i="3"/>
  <c r="AS92" i="3"/>
  <c r="AS93" i="3"/>
  <c r="AS94" i="3"/>
  <c r="AS95" i="3"/>
  <c r="AS96" i="3"/>
  <c r="AS97" i="3"/>
  <c r="AS98" i="3"/>
  <c r="AS99" i="3"/>
  <c r="AS100" i="3"/>
  <c r="BF10" i="3"/>
  <c r="BF11" i="3"/>
  <c r="BF12" i="3"/>
  <c r="BF13" i="3"/>
  <c r="BF14" i="3"/>
  <c r="AE9" i="3"/>
  <c r="AR10" i="3"/>
  <c r="AR11" i="3"/>
  <c r="AR12" i="3"/>
  <c r="AR13" i="3"/>
  <c r="AR14" i="3"/>
  <c r="AR15" i="3"/>
  <c r="AR16" i="3"/>
  <c r="AR17" i="3"/>
  <c r="AR18" i="3"/>
  <c r="AR19" i="3"/>
  <c r="AR20" i="3"/>
  <c r="AR21" i="3"/>
  <c r="AR22" i="3"/>
  <c r="AR23" i="3"/>
  <c r="AR24" i="3"/>
  <c r="AR25" i="3"/>
  <c r="AR26" i="3"/>
  <c r="AR27" i="3"/>
  <c r="AR28" i="3"/>
  <c r="AR29" i="3"/>
  <c r="AR30" i="3"/>
  <c r="AR31" i="3"/>
  <c r="AR32" i="3"/>
  <c r="AR33" i="3"/>
  <c r="AR34" i="3"/>
  <c r="AR35" i="3"/>
  <c r="AR36" i="3"/>
  <c r="AR37" i="3"/>
  <c r="AR38" i="3"/>
  <c r="AR39" i="3"/>
  <c r="AR40" i="3"/>
  <c r="AR41" i="3"/>
  <c r="AR42" i="3"/>
  <c r="AR43" i="3"/>
  <c r="AR44" i="3"/>
  <c r="AR45" i="3"/>
  <c r="AR46" i="3"/>
  <c r="AR47" i="3"/>
  <c r="AR48" i="3"/>
  <c r="AR49" i="3"/>
  <c r="AR50" i="3"/>
  <c r="AR51" i="3"/>
  <c r="AR52" i="3"/>
  <c r="AR53" i="3"/>
  <c r="AR54" i="3"/>
  <c r="AR55" i="3"/>
  <c r="AR56" i="3"/>
  <c r="AR57" i="3"/>
  <c r="AR58" i="3"/>
  <c r="AR59" i="3"/>
  <c r="AR60" i="3"/>
  <c r="AR61" i="3"/>
  <c r="AR62" i="3"/>
  <c r="AR63" i="3"/>
  <c r="AR64" i="3"/>
  <c r="AR65" i="3"/>
  <c r="AR66" i="3"/>
  <c r="AR67" i="3"/>
  <c r="AR68" i="3"/>
  <c r="AR69" i="3"/>
  <c r="AR70" i="3"/>
  <c r="AR71" i="3"/>
  <c r="AR72" i="3"/>
  <c r="AR73" i="3"/>
  <c r="AR74" i="3"/>
  <c r="AR75" i="3"/>
  <c r="AR76" i="3"/>
  <c r="AR77" i="3"/>
  <c r="AR78" i="3"/>
  <c r="AR79" i="3"/>
  <c r="AR80" i="3"/>
  <c r="AR81" i="3"/>
  <c r="AR82" i="3"/>
  <c r="AR83" i="3"/>
  <c r="AR84" i="3"/>
  <c r="AR85" i="3"/>
  <c r="AR86" i="3"/>
  <c r="AR87" i="3"/>
  <c r="AR88" i="3"/>
  <c r="AR89" i="3"/>
  <c r="AR90" i="3"/>
  <c r="AR91" i="3"/>
  <c r="AR92" i="3"/>
  <c r="AR93" i="3"/>
  <c r="AR94" i="3"/>
  <c r="AR95" i="3"/>
  <c r="AR96" i="3"/>
  <c r="AR97" i="3"/>
  <c r="AR98" i="3"/>
  <c r="AR99" i="3"/>
  <c r="AR100" i="3"/>
  <c r="BE10" i="3"/>
  <c r="BE11" i="3"/>
  <c r="BE12" i="3"/>
  <c r="BE13" i="3"/>
  <c r="BE14" i="3"/>
  <c r="AC9" i="3"/>
  <c r="AP10" i="3"/>
  <c r="AP11" i="3"/>
  <c r="AP12" i="3"/>
  <c r="AP13" i="3"/>
  <c r="AP14" i="3"/>
  <c r="AP15" i="3"/>
  <c r="AP16" i="3"/>
  <c r="AP17" i="3"/>
  <c r="AP18" i="3"/>
  <c r="AP19" i="3"/>
  <c r="AP20" i="3"/>
  <c r="AP21" i="3"/>
  <c r="AP22" i="3"/>
  <c r="AP23" i="3"/>
  <c r="AP24" i="3"/>
  <c r="AP25" i="3"/>
  <c r="AP26" i="3"/>
  <c r="AP27" i="3"/>
  <c r="AP28" i="3"/>
  <c r="AP29" i="3"/>
  <c r="AP30" i="3"/>
  <c r="AP31" i="3"/>
  <c r="AP32" i="3"/>
  <c r="AP33" i="3"/>
  <c r="AP34" i="3"/>
  <c r="AP35" i="3"/>
  <c r="AP36" i="3"/>
  <c r="AP37" i="3"/>
  <c r="AP38" i="3"/>
  <c r="AP39" i="3"/>
  <c r="AP40" i="3"/>
  <c r="AP41" i="3"/>
  <c r="AP42" i="3"/>
  <c r="AP43" i="3"/>
  <c r="AP44" i="3"/>
  <c r="AP45" i="3"/>
  <c r="AP46" i="3"/>
  <c r="AP47" i="3"/>
  <c r="AP48" i="3"/>
  <c r="AP49" i="3"/>
  <c r="AP50" i="3"/>
  <c r="AP51" i="3"/>
  <c r="AP52" i="3"/>
  <c r="AP53" i="3"/>
  <c r="AP54" i="3"/>
  <c r="AP55" i="3"/>
  <c r="AP56" i="3"/>
  <c r="AP57" i="3"/>
  <c r="AP58" i="3"/>
  <c r="AP59" i="3"/>
  <c r="AP60" i="3"/>
  <c r="AP61" i="3"/>
  <c r="AP62" i="3"/>
  <c r="AP63" i="3"/>
  <c r="AP64" i="3"/>
  <c r="AP65" i="3"/>
  <c r="AP66" i="3"/>
  <c r="AP67" i="3"/>
  <c r="AP68" i="3"/>
  <c r="AP69" i="3"/>
  <c r="AP70" i="3"/>
  <c r="AP71" i="3"/>
  <c r="AP72" i="3"/>
  <c r="AP73" i="3"/>
  <c r="AP74" i="3"/>
  <c r="AP75" i="3"/>
  <c r="AP76" i="3"/>
  <c r="AP77" i="3"/>
  <c r="AP78" i="3"/>
  <c r="AP79" i="3"/>
  <c r="AP80" i="3"/>
  <c r="AP81" i="3"/>
  <c r="AP82" i="3"/>
  <c r="AP83" i="3"/>
  <c r="AP84" i="3"/>
  <c r="AP85" i="3"/>
  <c r="AP86" i="3"/>
  <c r="AP87" i="3"/>
  <c r="AP88" i="3"/>
  <c r="AP89" i="3"/>
  <c r="AP90" i="3"/>
  <c r="AP91" i="3"/>
  <c r="AP92" i="3"/>
  <c r="AP93" i="3"/>
  <c r="AP94" i="3"/>
  <c r="AP95" i="3"/>
  <c r="AP96" i="3"/>
  <c r="AP97" i="3"/>
  <c r="AP98" i="3"/>
  <c r="AP99" i="3"/>
  <c r="AP100" i="3"/>
  <c r="BC10" i="3"/>
  <c r="BC11" i="3"/>
  <c r="BC12" i="3"/>
  <c r="BC13" i="3"/>
  <c r="BC14" i="3"/>
  <c r="AB9" i="3"/>
  <c r="AO10" i="3"/>
  <c r="AO11" i="3"/>
  <c r="AO12" i="3"/>
  <c r="AO13" i="3"/>
  <c r="AO14" i="3"/>
  <c r="AO15" i="3"/>
  <c r="AO16" i="3"/>
  <c r="AO17" i="3"/>
  <c r="AO18" i="3"/>
  <c r="AO19" i="3"/>
  <c r="AO20" i="3"/>
  <c r="AO21" i="3"/>
  <c r="AO22" i="3"/>
  <c r="AO23" i="3"/>
  <c r="AO24" i="3"/>
  <c r="AO25" i="3"/>
  <c r="AO26" i="3"/>
  <c r="AO27" i="3"/>
  <c r="AO28" i="3"/>
  <c r="AO29" i="3"/>
  <c r="AO30" i="3"/>
  <c r="AO31" i="3"/>
  <c r="AO32" i="3"/>
  <c r="AO33" i="3"/>
  <c r="AO34" i="3"/>
  <c r="AO35" i="3"/>
  <c r="AO36" i="3"/>
  <c r="AO37" i="3"/>
  <c r="AO38" i="3"/>
  <c r="AO39" i="3"/>
  <c r="AO40" i="3"/>
  <c r="AO41" i="3"/>
  <c r="AO42" i="3"/>
  <c r="AO43" i="3"/>
  <c r="AO44" i="3"/>
  <c r="AO45" i="3"/>
  <c r="AO46" i="3"/>
  <c r="AO47" i="3"/>
  <c r="AO48" i="3"/>
  <c r="AO49" i="3"/>
  <c r="AO50" i="3"/>
  <c r="AO51" i="3"/>
  <c r="AO52" i="3"/>
  <c r="AO53" i="3"/>
  <c r="AO54" i="3"/>
  <c r="AO55" i="3"/>
  <c r="AO56" i="3"/>
  <c r="AO57" i="3"/>
  <c r="AO58" i="3"/>
  <c r="AO59" i="3"/>
  <c r="AO60" i="3"/>
  <c r="AO61" i="3"/>
  <c r="AO62" i="3"/>
  <c r="AO63" i="3"/>
  <c r="AO64" i="3"/>
  <c r="AO65" i="3"/>
  <c r="AO66" i="3"/>
  <c r="AO67" i="3"/>
  <c r="AO68" i="3"/>
  <c r="AO69" i="3"/>
  <c r="AO70" i="3"/>
  <c r="AO71" i="3"/>
  <c r="AO72" i="3"/>
  <c r="AO73" i="3"/>
  <c r="AO74" i="3"/>
  <c r="AO75" i="3"/>
  <c r="AO76" i="3"/>
  <c r="AO77" i="3"/>
  <c r="AO78" i="3"/>
  <c r="AO79" i="3"/>
  <c r="AO80" i="3"/>
  <c r="AO81" i="3"/>
  <c r="AO82" i="3"/>
  <c r="AO83" i="3"/>
  <c r="AO84" i="3"/>
  <c r="AO85" i="3"/>
  <c r="AO86" i="3"/>
  <c r="AO87" i="3"/>
  <c r="AO88" i="3"/>
  <c r="AO89" i="3"/>
  <c r="AO90" i="3"/>
  <c r="AO91" i="3"/>
  <c r="AO92" i="3"/>
  <c r="AO93" i="3"/>
  <c r="AO94" i="3"/>
  <c r="AO95" i="3"/>
  <c r="AO96" i="3"/>
  <c r="AO97" i="3"/>
  <c r="AO98" i="3"/>
  <c r="AO99" i="3"/>
  <c r="AO100" i="3"/>
  <c r="BB10" i="3"/>
  <c r="BB11" i="3"/>
  <c r="BB12" i="3"/>
  <c r="BB13" i="3"/>
  <c r="BB14" i="3"/>
  <c r="AA9" i="3"/>
  <c r="AN10" i="3"/>
  <c r="AN11" i="3"/>
  <c r="AN12" i="3"/>
  <c r="AN13" i="3"/>
  <c r="AN14" i="3"/>
  <c r="AN15" i="3"/>
  <c r="AN16" i="3"/>
  <c r="AN17" i="3"/>
  <c r="AN18" i="3"/>
  <c r="AN19" i="3"/>
  <c r="AN20" i="3"/>
  <c r="AN21" i="3"/>
  <c r="AN22" i="3"/>
  <c r="AN23" i="3"/>
  <c r="AN24" i="3"/>
  <c r="AN25" i="3"/>
  <c r="AN26" i="3"/>
  <c r="AN27" i="3"/>
  <c r="AN28" i="3"/>
  <c r="AN29" i="3"/>
  <c r="AN30" i="3"/>
  <c r="AN31" i="3"/>
  <c r="AN32" i="3"/>
  <c r="AN33" i="3"/>
  <c r="AN34" i="3"/>
  <c r="AN35" i="3"/>
  <c r="AN36" i="3"/>
  <c r="AN37" i="3"/>
  <c r="AN38" i="3"/>
  <c r="AN39" i="3"/>
  <c r="AN40" i="3"/>
  <c r="AN41" i="3"/>
  <c r="AN42" i="3"/>
  <c r="AN43" i="3"/>
  <c r="AN44" i="3"/>
  <c r="AN45" i="3"/>
  <c r="AN46" i="3"/>
  <c r="AN47" i="3"/>
  <c r="AN48" i="3"/>
  <c r="AN49" i="3"/>
  <c r="AN50" i="3"/>
  <c r="AN51" i="3"/>
  <c r="AN52" i="3"/>
  <c r="AN53" i="3"/>
  <c r="AN54" i="3"/>
  <c r="AN55" i="3"/>
  <c r="AN56" i="3"/>
  <c r="AN57" i="3"/>
  <c r="AN58" i="3"/>
  <c r="AN59" i="3"/>
  <c r="AN60" i="3"/>
  <c r="AN61" i="3"/>
  <c r="AN62" i="3"/>
  <c r="AN63" i="3"/>
  <c r="AN64" i="3"/>
  <c r="AN65" i="3"/>
  <c r="AN66" i="3"/>
  <c r="AN67" i="3"/>
  <c r="AN68" i="3"/>
  <c r="AN69" i="3"/>
  <c r="AN70" i="3"/>
  <c r="AN71" i="3"/>
  <c r="AN72" i="3"/>
  <c r="AN73" i="3"/>
  <c r="AN74" i="3"/>
  <c r="AN75" i="3"/>
  <c r="AN76" i="3"/>
  <c r="AN77" i="3"/>
  <c r="AN78" i="3"/>
  <c r="AN79" i="3"/>
  <c r="AN80" i="3"/>
  <c r="AN81" i="3"/>
  <c r="AN82" i="3"/>
  <c r="AN83" i="3"/>
  <c r="AN84" i="3"/>
  <c r="AN85" i="3"/>
  <c r="AN86" i="3"/>
  <c r="AN87" i="3"/>
  <c r="AN88" i="3"/>
  <c r="AN89" i="3"/>
  <c r="AN90" i="3"/>
  <c r="AN91" i="3"/>
  <c r="AN92" i="3"/>
  <c r="AN93" i="3"/>
  <c r="AN94" i="3"/>
  <c r="AN95" i="3"/>
  <c r="AN96" i="3"/>
  <c r="AN97" i="3"/>
  <c r="AN98" i="3"/>
  <c r="AN99" i="3"/>
  <c r="AN100" i="3"/>
  <c r="BA10" i="3"/>
  <c r="BA11" i="3"/>
  <c r="BA12" i="3"/>
  <c r="BA13" i="3"/>
  <c r="BA14" i="3"/>
  <c r="Z9" i="3"/>
  <c r="AM10" i="3"/>
  <c r="AM11" i="3"/>
  <c r="AM12" i="3"/>
  <c r="AM13" i="3"/>
  <c r="AM14" i="3"/>
  <c r="AM15" i="3"/>
  <c r="AM16" i="3"/>
  <c r="AM17" i="3"/>
  <c r="AM18" i="3"/>
  <c r="AM19" i="3"/>
  <c r="AM20" i="3"/>
  <c r="AM21" i="3"/>
  <c r="AM22" i="3"/>
  <c r="AM23" i="3"/>
  <c r="AM24" i="3"/>
  <c r="AM25" i="3"/>
  <c r="AM26" i="3"/>
  <c r="AM27" i="3"/>
  <c r="AM28" i="3"/>
  <c r="AM29" i="3"/>
  <c r="AM30" i="3"/>
  <c r="AM31" i="3"/>
  <c r="AM32" i="3"/>
  <c r="AM33" i="3"/>
  <c r="AM34" i="3"/>
  <c r="AM35" i="3"/>
  <c r="AM36" i="3"/>
  <c r="AM37" i="3"/>
  <c r="AM38" i="3"/>
  <c r="AM39" i="3"/>
  <c r="AM40" i="3"/>
  <c r="AM41" i="3"/>
  <c r="AM42" i="3"/>
  <c r="AM43" i="3"/>
  <c r="AM44" i="3"/>
  <c r="AM45" i="3"/>
  <c r="AM46" i="3"/>
  <c r="AM47" i="3"/>
  <c r="AM48" i="3"/>
  <c r="AM49" i="3"/>
  <c r="AM50" i="3"/>
  <c r="AM51" i="3"/>
  <c r="AM52" i="3"/>
  <c r="AM53" i="3"/>
  <c r="AM54" i="3"/>
  <c r="AM55" i="3"/>
  <c r="AM56" i="3"/>
  <c r="AM57" i="3"/>
  <c r="AM58" i="3"/>
  <c r="AM59" i="3"/>
  <c r="AM60" i="3"/>
  <c r="AM61" i="3"/>
  <c r="AM62" i="3"/>
  <c r="AM63" i="3"/>
  <c r="AM64" i="3"/>
  <c r="AM65" i="3"/>
  <c r="AM66" i="3"/>
  <c r="AM67" i="3"/>
  <c r="AM68" i="3"/>
  <c r="AM69" i="3"/>
  <c r="AM70" i="3"/>
  <c r="AM71" i="3"/>
  <c r="AM72" i="3"/>
  <c r="AM73" i="3"/>
  <c r="AM74" i="3"/>
  <c r="AM75" i="3"/>
  <c r="AM76" i="3"/>
  <c r="AM77" i="3"/>
  <c r="AM78" i="3"/>
  <c r="AM79" i="3"/>
  <c r="AM80" i="3"/>
  <c r="AM81" i="3"/>
  <c r="AM82" i="3"/>
  <c r="AM83" i="3"/>
  <c r="AM84" i="3"/>
  <c r="AM85" i="3"/>
  <c r="AM86" i="3"/>
  <c r="AM87" i="3"/>
  <c r="AM88" i="3"/>
  <c r="AM89" i="3"/>
  <c r="AM90" i="3"/>
  <c r="AM91" i="3"/>
  <c r="AM92" i="3"/>
  <c r="AM93" i="3"/>
  <c r="AM94" i="3"/>
  <c r="AM95" i="3"/>
  <c r="AM96" i="3"/>
  <c r="AM97" i="3"/>
  <c r="AM98" i="3"/>
  <c r="AM99" i="3"/>
  <c r="AM100" i="3"/>
  <c r="AZ10" i="3"/>
  <c r="AZ11" i="3"/>
  <c r="AZ12" i="3"/>
  <c r="AZ13" i="3"/>
  <c r="AZ14" i="3"/>
  <c r="AK100" i="3"/>
  <c r="AJ100" i="3"/>
  <c r="AI100" i="3"/>
  <c r="AH100" i="3"/>
  <c r="AF100" i="3"/>
  <c r="AE100" i="3"/>
  <c r="AC100" i="3"/>
  <c r="AB100" i="3"/>
  <c r="AA100" i="3"/>
  <c r="Z100" i="3"/>
  <c r="AK99" i="3"/>
  <c r="AJ99" i="3"/>
  <c r="AI99" i="3"/>
  <c r="AH99" i="3"/>
  <c r="AF99" i="3"/>
  <c r="AE99" i="3"/>
  <c r="AC99" i="3"/>
  <c r="AB99" i="3"/>
  <c r="AA99" i="3"/>
  <c r="Z99" i="3"/>
  <c r="AK98" i="3"/>
  <c r="AJ98" i="3"/>
  <c r="AI98" i="3"/>
  <c r="AH98" i="3"/>
  <c r="AF98" i="3"/>
  <c r="AE98" i="3"/>
  <c r="AC98" i="3"/>
  <c r="AB98" i="3"/>
  <c r="AA98" i="3"/>
  <c r="Z98" i="3"/>
  <c r="AK97" i="3"/>
  <c r="AJ97" i="3"/>
  <c r="AI97" i="3"/>
  <c r="AH97" i="3"/>
  <c r="AF97" i="3"/>
  <c r="AE97" i="3"/>
  <c r="AC97" i="3"/>
  <c r="AB97" i="3"/>
  <c r="AA97" i="3"/>
  <c r="Z97" i="3"/>
  <c r="AK96" i="3"/>
  <c r="AJ96" i="3"/>
  <c r="AI96" i="3"/>
  <c r="AH96" i="3"/>
  <c r="AF96" i="3"/>
  <c r="AE96" i="3"/>
  <c r="AC96" i="3"/>
  <c r="AB96" i="3"/>
  <c r="AA96" i="3"/>
  <c r="Z96" i="3"/>
  <c r="AK95" i="3"/>
  <c r="AJ95" i="3"/>
  <c r="AI95" i="3"/>
  <c r="AH95" i="3"/>
  <c r="AF95" i="3"/>
  <c r="AE95" i="3"/>
  <c r="AC95" i="3"/>
  <c r="AB95" i="3"/>
  <c r="AA95" i="3"/>
  <c r="Z95" i="3"/>
  <c r="AK94" i="3"/>
  <c r="AJ94" i="3"/>
  <c r="AI94" i="3"/>
  <c r="AH94" i="3"/>
  <c r="AF94" i="3"/>
  <c r="AE94" i="3"/>
  <c r="AC94" i="3"/>
  <c r="AB94" i="3"/>
  <c r="AA94" i="3"/>
  <c r="Z94" i="3"/>
  <c r="AK93" i="3"/>
  <c r="AJ93" i="3"/>
  <c r="AI93" i="3"/>
  <c r="AH93" i="3"/>
  <c r="AF93" i="3"/>
  <c r="AE93" i="3"/>
  <c r="AC93" i="3"/>
  <c r="AB93" i="3"/>
  <c r="AA93" i="3"/>
  <c r="Z93" i="3"/>
  <c r="AK92" i="3"/>
  <c r="AJ92" i="3"/>
  <c r="AI92" i="3"/>
  <c r="AH92" i="3"/>
  <c r="AF92" i="3"/>
  <c r="AE92" i="3"/>
  <c r="AC92" i="3"/>
  <c r="AB92" i="3"/>
  <c r="AA92" i="3"/>
  <c r="Z92" i="3"/>
  <c r="AK91" i="3"/>
  <c r="AJ91" i="3"/>
  <c r="AI91" i="3"/>
  <c r="AH91" i="3"/>
  <c r="AF91" i="3"/>
  <c r="AE91" i="3"/>
  <c r="AC91" i="3"/>
  <c r="AB91" i="3"/>
  <c r="AA91" i="3"/>
  <c r="Z91" i="3"/>
  <c r="AK90" i="3"/>
  <c r="AJ90" i="3"/>
  <c r="AI90" i="3"/>
  <c r="AH90" i="3"/>
  <c r="AF90" i="3"/>
  <c r="AE90" i="3"/>
  <c r="AC90" i="3"/>
  <c r="AB90" i="3"/>
  <c r="AA90" i="3"/>
  <c r="Z90" i="3"/>
  <c r="AK89" i="3"/>
  <c r="AJ89" i="3"/>
  <c r="AI89" i="3"/>
  <c r="AH89" i="3"/>
  <c r="AF89" i="3"/>
  <c r="AE89" i="3"/>
  <c r="AC89" i="3"/>
  <c r="AB89" i="3"/>
  <c r="AA89" i="3"/>
  <c r="Z89" i="3"/>
  <c r="AK88" i="3"/>
  <c r="AJ88" i="3"/>
  <c r="AI88" i="3"/>
  <c r="AH88" i="3"/>
  <c r="AF88" i="3"/>
  <c r="AE88" i="3"/>
  <c r="AC88" i="3"/>
  <c r="AB88" i="3"/>
  <c r="AA88" i="3"/>
  <c r="Z88" i="3"/>
  <c r="AK87" i="3"/>
  <c r="AJ87" i="3"/>
  <c r="AI87" i="3"/>
  <c r="AH87" i="3"/>
  <c r="AF87" i="3"/>
  <c r="AE87" i="3"/>
  <c r="AC87" i="3"/>
  <c r="AB87" i="3"/>
  <c r="AA87" i="3"/>
  <c r="Z87" i="3"/>
  <c r="AK86" i="3"/>
  <c r="AJ86" i="3"/>
  <c r="AI86" i="3"/>
  <c r="AH86" i="3"/>
  <c r="AF86" i="3"/>
  <c r="AE86" i="3"/>
  <c r="AC86" i="3"/>
  <c r="AB86" i="3"/>
  <c r="AA86" i="3"/>
  <c r="Z86" i="3"/>
  <c r="AK85" i="3"/>
  <c r="AJ85" i="3"/>
  <c r="AI85" i="3"/>
  <c r="AH85" i="3"/>
  <c r="AF85" i="3"/>
  <c r="AE85" i="3"/>
  <c r="AC85" i="3"/>
  <c r="AB85" i="3"/>
  <c r="AA85" i="3"/>
  <c r="Z85" i="3"/>
  <c r="AK84" i="3"/>
  <c r="AJ84" i="3"/>
  <c r="AI84" i="3"/>
  <c r="AH84" i="3"/>
  <c r="AF84" i="3"/>
  <c r="AE84" i="3"/>
  <c r="AC84" i="3"/>
  <c r="AB84" i="3"/>
  <c r="AA84" i="3"/>
  <c r="Z84" i="3"/>
  <c r="AK83" i="3"/>
  <c r="AJ83" i="3"/>
  <c r="AI83" i="3"/>
  <c r="AH83" i="3"/>
  <c r="AF83" i="3"/>
  <c r="AE83" i="3"/>
  <c r="AC83" i="3"/>
  <c r="AB83" i="3"/>
  <c r="AA83" i="3"/>
  <c r="Z83" i="3"/>
  <c r="AK82" i="3"/>
  <c r="AJ82" i="3"/>
  <c r="AI82" i="3"/>
  <c r="AH82" i="3"/>
  <c r="AF82" i="3"/>
  <c r="AE82" i="3"/>
  <c r="AC82" i="3"/>
  <c r="AB82" i="3"/>
  <c r="AA82" i="3"/>
  <c r="Z82" i="3"/>
  <c r="AK81" i="3"/>
  <c r="AJ81" i="3"/>
  <c r="AI81" i="3"/>
  <c r="AH81" i="3"/>
  <c r="AF81" i="3"/>
  <c r="AE81" i="3"/>
  <c r="AC81" i="3"/>
  <c r="AB81" i="3"/>
  <c r="AA81" i="3"/>
  <c r="Z81" i="3"/>
  <c r="AK80" i="3"/>
  <c r="AJ80" i="3"/>
  <c r="AI80" i="3"/>
  <c r="AH80" i="3"/>
  <c r="AF80" i="3"/>
  <c r="AE80" i="3"/>
  <c r="AC80" i="3"/>
  <c r="AB80" i="3"/>
  <c r="AA80" i="3"/>
  <c r="Z80" i="3"/>
  <c r="AK79" i="3"/>
  <c r="AJ79" i="3"/>
  <c r="AI79" i="3"/>
  <c r="AH79" i="3"/>
  <c r="AF79" i="3"/>
  <c r="AE79" i="3"/>
  <c r="AC79" i="3"/>
  <c r="AB79" i="3"/>
  <c r="AA79" i="3"/>
  <c r="Z79" i="3"/>
  <c r="AK78" i="3"/>
  <c r="AJ78" i="3"/>
  <c r="AI78" i="3"/>
  <c r="AH78" i="3"/>
  <c r="AF78" i="3"/>
  <c r="AE78" i="3"/>
  <c r="AC78" i="3"/>
  <c r="AB78" i="3"/>
  <c r="AA78" i="3"/>
  <c r="Z78" i="3"/>
  <c r="AK77" i="3"/>
  <c r="AJ77" i="3"/>
  <c r="AI77" i="3"/>
  <c r="AH77" i="3"/>
  <c r="AF77" i="3"/>
  <c r="AE77" i="3"/>
  <c r="AC77" i="3"/>
  <c r="AB77" i="3"/>
  <c r="AA77" i="3"/>
  <c r="Z77" i="3"/>
  <c r="AK76" i="3"/>
  <c r="AJ76" i="3"/>
  <c r="AI76" i="3"/>
  <c r="AH76" i="3"/>
  <c r="AF76" i="3"/>
  <c r="AE76" i="3"/>
  <c r="AC76" i="3"/>
  <c r="AB76" i="3"/>
  <c r="AA76" i="3"/>
  <c r="Z76" i="3"/>
  <c r="AK75" i="3"/>
  <c r="AJ75" i="3"/>
  <c r="AI75" i="3"/>
  <c r="AH75" i="3"/>
  <c r="AF75" i="3"/>
  <c r="AE75" i="3"/>
  <c r="AC75" i="3"/>
  <c r="AB75" i="3"/>
  <c r="AA75" i="3"/>
  <c r="Z75" i="3"/>
  <c r="AK74" i="3"/>
  <c r="AJ74" i="3"/>
  <c r="AI74" i="3"/>
  <c r="AH74" i="3"/>
  <c r="AF74" i="3"/>
  <c r="AE74" i="3"/>
  <c r="AC74" i="3"/>
  <c r="AB74" i="3"/>
  <c r="AA74" i="3"/>
  <c r="Z74" i="3"/>
  <c r="AK73" i="3"/>
  <c r="AJ73" i="3"/>
  <c r="AI73" i="3"/>
  <c r="AH73" i="3"/>
  <c r="AF73" i="3"/>
  <c r="AE73" i="3"/>
  <c r="AC73" i="3"/>
  <c r="AB73" i="3"/>
  <c r="AA73" i="3"/>
  <c r="Z73" i="3"/>
  <c r="AK72" i="3"/>
  <c r="AJ72" i="3"/>
  <c r="AI72" i="3"/>
  <c r="AH72" i="3"/>
  <c r="AF72" i="3"/>
  <c r="AE72" i="3"/>
  <c r="AC72" i="3"/>
  <c r="AB72" i="3"/>
  <c r="AA72" i="3"/>
  <c r="Z72" i="3"/>
  <c r="AK71" i="3"/>
  <c r="AJ71" i="3"/>
  <c r="AI71" i="3"/>
  <c r="AH71" i="3"/>
  <c r="AF71" i="3"/>
  <c r="AE71" i="3"/>
  <c r="AC71" i="3"/>
  <c r="AB71" i="3"/>
  <c r="AA71" i="3"/>
  <c r="Z71" i="3"/>
  <c r="AK70" i="3"/>
  <c r="AJ70" i="3"/>
  <c r="AI70" i="3"/>
  <c r="AH70" i="3"/>
  <c r="AF70" i="3"/>
  <c r="AE70" i="3"/>
  <c r="AC70" i="3"/>
  <c r="AB70" i="3"/>
  <c r="AA70" i="3"/>
  <c r="Z70" i="3"/>
  <c r="AK69" i="3"/>
  <c r="AJ69" i="3"/>
  <c r="AI69" i="3"/>
  <c r="AH69" i="3"/>
  <c r="AF69" i="3"/>
  <c r="AE69" i="3"/>
  <c r="AC69" i="3"/>
  <c r="AB69" i="3"/>
  <c r="AA69" i="3"/>
  <c r="Z69" i="3"/>
  <c r="AK68" i="3"/>
  <c r="AJ68" i="3"/>
  <c r="AI68" i="3"/>
  <c r="AH68" i="3"/>
  <c r="AF68" i="3"/>
  <c r="AE68" i="3"/>
  <c r="AC68" i="3"/>
  <c r="AB68" i="3"/>
  <c r="AA68" i="3"/>
  <c r="Z68" i="3"/>
  <c r="AK67" i="3"/>
  <c r="AJ67" i="3"/>
  <c r="AI67" i="3"/>
  <c r="AH67" i="3"/>
  <c r="AF67" i="3"/>
  <c r="AE67" i="3"/>
  <c r="AC67" i="3"/>
  <c r="AB67" i="3"/>
  <c r="AA67" i="3"/>
  <c r="Z67" i="3"/>
  <c r="AK66" i="3"/>
  <c r="AJ66" i="3"/>
  <c r="AI66" i="3"/>
  <c r="AH66" i="3"/>
  <c r="AF66" i="3"/>
  <c r="AE66" i="3"/>
  <c r="AC66" i="3"/>
  <c r="AB66" i="3"/>
  <c r="AA66" i="3"/>
  <c r="Z66" i="3"/>
  <c r="AK65" i="3"/>
  <c r="AJ65" i="3"/>
  <c r="AI65" i="3"/>
  <c r="AH65" i="3"/>
  <c r="AF65" i="3"/>
  <c r="AE65" i="3"/>
  <c r="AC65" i="3"/>
  <c r="AB65" i="3"/>
  <c r="AA65" i="3"/>
  <c r="Z65" i="3"/>
  <c r="AK64" i="3"/>
  <c r="AJ64" i="3"/>
  <c r="AI64" i="3"/>
  <c r="AH64" i="3"/>
  <c r="AF64" i="3"/>
  <c r="AE64" i="3"/>
  <c r="AC64" i="3"/>
  <c r="AB64" i="3"/>
  <c r="AA64" i="3"/>
  <c r="Z64" i="3"/>
  <c r="AK63" i="3"/>
  <c r="AJ63" i="3"/>
  <c r="AI63" i="3"/>
  <c r="AH63" i="3"/>
  <c r="AF63" i="3"/>
  <c r="AE63" i="3"/>
  <c r="AC63" i="3"/>
  <c r="AB63" i="3"/>
  <c r="AA63" i="3"/>
  <c r="Z63" i="3"/>
  <c r="AK62" i="3"/>
  <c r="AJ62" i="3"/>
  <c r="AI62" i="3"/>
  <c r="AH62" i="3"/>
  <c r="AF62" i="3"/>
  <c r="AE62" i="3"/>
  <c r="AC62" i="3"/>
  <c r="AB62" i="3"/>
  <c r="AA62" i="3"/>
  <c r="Z62" i="3"/>
  <c r="AK61" i="3"/>
  <c r="AJ61" i="3"/>
  <c r="AI61" i="3"/>
  <c r="AH61" i="3"/>
  <c r="AF61" i="3"/>
  <c r="AE61" i="3"/>
  <c r="AC61" i="3"/>
  <c r="AB61" i="3"/>
  <c r="AA61" i="3"/>
  <c r="Z61" i="3"/>
  <c r="AK60" i="3"/>
  <c r="AJ60" i="3"/>
  <c r="AI60" i="3"/>
  <c r="AH60" i="3"/>
  <c r="AF60" i="3"/>
  <c r="AE60" i="3"/>
  <c r="AC60" i="3"/>
  <c r="AB60" i="3"/>
  <c r="AA60" i="3"/>
  <c r="Z60" i="3"/>
  <c r="AK59" i="3"/>
  <c r="AJ59" i="3"/>
  <c r="AI59" i="3"/>
  <c r="AH59" i="3"/>
  <c r="AF59" i="3"/>
  <c r="AE59" i="3"/>
  <c r="AC59" i="3"/>
  <c r="AB59" i="3"/>
  <c r="AA59" i="3"/>
  <c r="Z59" i="3"/>
  <c r="AK58" i="3"/>
  <c r="AJ58" i="3"/>
  <c r="AI58" i="3"/>
  <c r="AH58" i="3"/>
  <c r="AF58" i="3"/>
  <c r="AE58" i="3"/>
  <c r="AC58" i="3"/>
  <c r="AB58" i="3"/>
  <c r="AA58" i="3"/>
  <c r="Z58" i="3"/>
  <c r="AK57" i="3"/>
  <c r="AJ57" i="3"/>
  <c r="AI57" i="3"/>
  <c r="AH57" i="3"/>
  <c r="AF57" i="3"/>
  <c r="AE57" i="3"/>
  <c r="AC57" i="3"/>
  <c r="AB57" i="3"/>
  <c r="AA57" i="3"/>
  <c r="Z57" i="3"/>
  <c r="AK56" i="3"/>
  <c r="AJ56" i="3"/>
  <c r="AI56" i="3"/>
  <c r="AH56" i="3"/>
  <c r="AF56" i="3"/>
  <c r="AE56" i="3"/>
  <c r="AC56" i="3"/>
  <c r="AB56" i="3"/>
  <c r="AA56" i="3"/>
  <c r="Z56" i="3"/>
  <c r="AK55" i="3"/>
  <c r="AJ55" i="3"/>
  <c r="AI55" i="3"/>
  <c r="AH55" i="3"/>
  <c r="AF55" i="3"/>
  <c r="AE55" i="3"/>
  <c r="AC55" i="3"/>
  <c r="AB55" i="3"/>
  <c r="AA55" i="3"/>
  <c r="Z55" i="3"/>
  <c r="AK54" i="3"/>
  <c r="AJ54" i="3"/>
  <c r="AI54" i="3"/>
  <c r="AH54" i="3"/>
  <c r="AF54" i="3"/>
  <c r="AE54" i="3"/>
  <c r="AC54" i="3"/>
  <c r="AB54" i="3"/>
  <c r="AA54" i="3"/>
  <c r="Z54" i="3"/>
  <c r="AK53" i="3"/>
  <c r="AJ53" i="3"/>
  <c r="AI53" i="3"/>
  <c r="AH53" i="3"/>
  <c r="AF53" i="3"/>
  <c r="AE53" i="3"/>
  <c r="AC53" i="3"/>
  <c r="AB53" i="3"/>
  <c r="AA53" i="3"/>
  <c r="Z53" i="3"/>
  <c r="AK52" i="3"/>
  <c r="AJ52" i="3"/>
  <c r="AI52" i="3"/>
  <c r="AH52" i="3"/>
  <c r="AF52" i="3"/>
  <c r="AE52" i="3"/>
  <c r="AC52" i="3"/>
  <c r="AB52" i="3"/>
  <c r="AA52" i="3"/>
  <c r="Z52" i="3"/>
  <c r="AK51" i="3"/>
  <c r="AJ51" i="3"/>
  <c r="AI51" i="3"/>
  <c r="AH51" i="3"/>
  <c r="AF51" i="3"/>
  <c r="AE51" i="3"/>
  <c r="AC51" i="3"/>
  <c r="AB51" i="3"/>
  <c r="AA51" i="3"/>
  <c r="Z51" i="3"/>
  <c r="AK50" i="3"/>
  <c r="AJ50" i="3"/>
  <c r="AI50" i="3"/>
  <c r="AH50" i="3"/>
  <c r="AF50" i="3"/>
  <c r="AE50" i="3"/>
  <c r="AC50" i="3"/>
  <c r="AB50" i="3"/>
  <c r="AA50" i="3"/>
  <c r="Z50" i="3"/>
  <c r="AK49" i="3"/>
  <c r="AJ49" i="3"/>
  <c r="AI49" i="3"/>
  <c r="AH49" i="3"/>
  <c r="AF49" i="3"/>
  <c r="AE49" i="3"/>
  <c r="AC49" i="3"/>
  <c r="AB49" i="3"/>
  <c r="AA49" i="3"/>
  <c r="Z49" i="3"/>
  <c r="AK48" i="3"/>
  <c r="AJ48" i="3"/>
  <c r="AI48" i="3"/>
  <c r="AH48" i="3"/>
  <c r="AF48" i="3"/>
  <c r="AE48" i="3"/>
  <c r="AC48" i="3"/>
  <c r="AB48" i="3"/>
  <c r="AA48" i="3"/>
  <c r="Z48" i="3"/>
  <c r="AK47" i="3"/>
  <c r="AJ47" i="3"/>
  <c r="AI47" i="3"/>
  <c r="AH47" i="3"/>
  <c r="AF47" i="3"/>
  <c r="AE47" i="3"/>
  <c r="AC47" i="3"/>
  <c r="AB47" i="3"/>
  <c r="AA47" i="3"/>
  <c r="Z47" i="3"/>
  <c r="AK46" i="3"/>
  <c r="AJ46" i="3"/>
  <c r="AI46" i="3"/>
  <c r="AH46" i="3"/>
  <c r="AF46" i="3"/>
  <c r="AE46" i="3"/>
  <c r="AC46" i="3"/>
  <c r="AB46" i="3"/>
  <c r="AA46" i="3"/>
  <c r="Z46" i="3"/>
  <c r="AK45" i="3"/>
  <c r="AJ45" i="3"/>
  <c r="AI45" i="3"/>
  <c r="AH45" i="3"/>
  <c r="AF45" i="3"/>
  <c r="AE45" i="3"/>
  <c r="AC45" i="3"/>
  <c r="AB45" i="3"/>
  <c r="AA45" i="3"/>
  <c r="Z45" i="3"/>
  <c r="AK44" i="3"/>
  <c r="AJ44" i="3"/>
  <c r="AI44" i="3"/>
  <c r="AH44" i="3"/>
  <c r="AF44" i="3"/>
  <c r="AE44" i="3"/>
  <c r="AC44" i="3"/>
  <c r="AB44" i="3"/>
  <c r="AA44" i="3"/>
  <c r="Z44" i="3"/>
  <c r="AK43" i="3"/>
  <c r="AJ43" i="3"/>
  <c r="AI43" i="3"/>
  <c r="AH43" i="3"/>
  <c r="AF43" i="3"/>
  <c r="AE43" i="3"/>
  <c r="AC43" i="3"/>
  <c r="AB43" i="3"/>
  <c r="AA43" i="3"/>
  <c r="Z43" i="3"/>
  <c r="AK42" i="3"/>
  <c r="AJ42" i="3"/>
  <c r="AI42" i="3"/>
  <c r="AH42" i="3"/>
  <c r="AF42" i="3"/>
  <c r="AE42" i="3"/>
  <c r="AC42" i="3"/>
  <c r="AB42" i="3"/>
  <c r="AA42" i="3"/>
  <c r="Z42" i="3"/>
  <c r="AK41" i="3"/>
  <c r="AJ41" i="3"/>
  <c r="AI41" i="3"/>
  <c r="AH41" i="3"/>
  <c r="AF41" i="3"/>
  <c r="AE41" i="3"/>
  <c r="AC41" i="3"/>
  <c r="AB41" i="3"/>
  <c r="AA41" i="3"/>
  <c r="Z41" i="3"/>
  <c r="AK40" i="3"/>
  <c r="AJ40" i="3"/>
  <c r="AI40" i="3"/>
  <c r="AH40" i="3"/>
  <c r="AF40" i="3"/>
  <c r="AE40" i="3"/>
  <c r="AC40" i="3"/>
  <c r="AB40" i="3"/>
  <c r="AA40" i="3"/>
  <c r="Z40" i="3"/>
  <c r="AK39" i="3"/>
  <c r="AJ39" i="3"/>
  <c r="AI39" i="3"/>
  <c r="AH39" i="3"/>
  <c r="AF39" i="3"/>
  <c r="AE39" i="3"/>
  <c r="AC39" i="3"/>
  <c r="AB39" i="3"/>
  <c r="AA39" i="3"/>
  <c r="Z39" i="3"/>
  <c r="AK38" i="3"/>
  <c r="AJ38" i="3"/>
  <c r="AI38" i="3"/>
  <c r="AH38" i="3"/>
  <c r="AF38" i="3"/>
  <c r="AE38" i="3"/>
  <c r="AC38" i="3"/>
  <c r="AB38" i="3"/>
  <c r="AA38" i="3"/>
  <c r="Z38" i="3"/>
  <c r="AK37" i="3"/>
  <c r="AJ37" i="3"/>
  <c r="AI37" i="3"/>
  <c r="AH37" i="3"/>
  <c r="AF37" i="3"/>
  <c r="AE37" i="3"/>
  <c r="AC37" i="3"/>
  <c r="AB37" i="3"/>
  <c r="AA37" i="3"/>
  <c r="Z37" i="3"/>
  <c r="AK36" i="3"/>
  <c r="AJ36" i="3"/>
  <c r="AI36" i="3"/>
  <c r="AH36" i="3"/>
  <c r="AF36" i="3"/>
  <c r="AE36" i="3"/>
  <c r="AC36" i="3"/>
  <c r="AB36" i="3"/>
  <c r="AA36" i="3"/>
  <c r="Z36" i="3"/>
  <c r="AK35" i="3"/>
  <c r="AJ35" i="3"/>
  <c r="AI35" i="3"/>
  <c r="AH35" i="3"/>
  <c r="AF35" i="3"/>
  <c r="AE35" i="3"/>
  <c r="AC35" i="3"/>
  <c r="AB35" i="3"/>
  <c r="AA35" i="3"/>
  <c r="Z35" i="3"/>
  <c r="AK34" i="3"/>
  <c r="AJ34" i="3"/>
  <c r="AI34" i="3"/>
  <c r="AH34" i="3"/>
  <c r="AF34" i="3"/>
  <c r="AE34" i="3"/>
  <c r="AC34" i="3"/>
  <c r="AB34" i="3"/>
  <c r="AA34" i="3"/>
  <c r="Z34" i="3"/>
  <c r="AK33" i="3"/>
  <c r="AJ33" i="3"/>
  <c r="AI33" i="3"/>
  <c r="AH33" i="3"/>
  <c r="AF33" i="3"/>
  <c r="AE33" i="3"/>
  <c r="AC33" i="3"/>
  <c r="AB33" i="3"/>
  <c r="AA33" i="3"/>
  <c r="Z33" i="3"/>
  <c r="AK32" i="3"/>
  <c r="AJ32" i="3"/>
  <c r="AI32" i="3"/>
  <c r="AH32" i="3"/>
  <c r="AF32" i="3"/>
  <c r="AE32" i="3"/>
  <c r="AC32" i="3"/>
  <c r="AB32" i="3"/>
  <c r="AA32" i="3"/>
  <c r="Z32" i="3"/>
  <c r="AK31" i="3"/>
  <c r="AJ31" i="3"/>
  <c r="AI31" i="3"/>
  <c r="AH31" i="3"/>
  <c r="AF31" i="3"/>
  <c r="AE31" i="3"/>
  <c r="AC31" i="3"/>
  <c r="AB31" i="3"/>
  <c r="AA31" i="3"/>
  <c r="Z31" i="3"/>
  <c r="AK30" i="3"/>
  <c r="AJ30" i="3"/>
  <c r="AI30" i="3"/>
  <c r="AH30" i="3"/>
  <c r="AF30" i="3"/>
  <c r="AE30" i="3"/>
  <c r="AC30" i="3"/>
  <c r="AB30" i="3"/>
  <c r="AA30" i="3"/>
  <c r="Z30" i="3"/>
  <c r="AK29" i="3"/>
  <c r="AJ29" i="3"/>
  <c r="AI29" i="3"/>
  <c r="AH29" i="3"/>
  <c r="AF29" i="3"/>
  <c r="AE29" i="3"/>
  <c r="AC29" i="3"/>
  <c r="AB29" i="3"/>
  <c r="AA29" i="3"/>
  <c r="Z29" i="3"/>
  <c r="AK28" i="3"/>
  <c r="AJ28" i="3"/>
  <c r="AI28" i="3"/>
  <c r="AH28" i="3"/>
  <c r="AF28" i="3"/>
  <c r="AE28" i="3"/>
  <c r="AC28" i="3"/>
  <c r="AB28" i="3"/>
  <c r="AA28" i="3"/>
  <c r="Z28" i="3"/>
  <c r="AK27" i="3"/>
  <c r="AJ27" i="3"/>
  <c r="AI27" i="3"/>
  <c r="AH27" i="3"/>
  <c r="AF27" i="3"/>
  <c r="AE27" i="3"/>
  <c r="AC27" i="3"/>
  <c r="AB27" i="3"/>
  <c r="AA27" i="3"/>
  <c r="Z27" i="3"/>
  <c r="AK26" i="3"/>
  <c r="AJ26" i="3"/>
  <c r="AI26" i="3"/>
  <c r="AH26" i="3"/>
  <c r="AF26" i="3"/>
  <c r="AE26" i="3"/>
  <c r="AC26" i="3"/>
  <c r="AB26" i="3"/>
  <c r="AA26" i="3"/>
  <c r="Z26" i="3"/>
  <c r="AK25" i="3"/>
  <c r="AJ25" i="3"/>
  <c r="AI25" i="3"/>
  <c r="AH25" i="3"/>
  <c r="AF25" i="3"/>
  <c r="AE25" i="3"/>
  <c r="AC25" i="3"/>
  <c r="AB25" i="3"/>
  <c r="AA25" i="3"/>
  <c r="Z25" i="3"/>
  <c r="AK24" i="3"/>
  <c r="AJ24" i="3"/>
  <c r="AI24" i="3"/>
  <c r="AH24" i="3"/>
  <c r="AF24" i="3"/>
  <c r="AE24" i="3"/>
  <c r="AC24" i="3"/>
  <c r="AB24" i="3"/>
  <c r="AA24" i="3"/>
  <c r="Z24" i="3"/>
  <c r="AK23" i="3"/>
  <c r="AJ23" i="3"/>
  <c r="AI23" i="3"/>
  <c r="AH23" i="3"/>
  <c r="AF23" i="3"/>
  <c r="AE23" i="3"/>
  <c r="AC23" i="3"/>
  <c r="AB23" i="3"/>
  <c r="AA23" i="3"/>
  <c r="Z23" i="3"/>
  <c r="AK22" i="3"/>
  <c r="AJ22" i="3"/>
  <c r="AI22" i="3"/>
  <c r="AH22" i="3"/>
  <c r="AF22" i="3"/>
  <c r="AE22" i="3"/>
  <c r="AC22" i="3"/>
  <c r="AB22" i="3"/>
  <c r="AA22" i="3"/>
  <c r="Z22" i="3"/>
  <c r="AK21" i="3"/>
  <c r="AJ21" i="3"/>
  <c r="AI21" i="3"/>
  <c r="AH21" i="3"/>
  <c r="AF21" i="3"/>
  <c r="AE21" i="3"/>
  <c r="AC21" i="3"/>
  <c r="AB21" i="3"/>
  <c r="AA21" i="3"/>
  <c r="Z21" i="3"/>
  <c r="AK20" i="3"/>
  <c r="AJ20" i="3"/>
  <c r="AI20" i="3"/>
  <c r="AH20" i="3"/>
  <c r="AF20" i="3"/>
  <c r="AE20" i="3"/>
  <c r="AC20" i="3"/>
  <c r="AB20" i="3"/>
  <c r="AA20" i="3"/>
  <c r="Z20" i="3"/>
  <c r="AK19" i="3"/>
  <c r="AJ19" i="3"/>
  <c r="AI19" i="3"/>
  <c r="AH19" i="3"/>
  <c r="AF19" i="3"/>
  <c r="AE19" i="3"/>
  <c r="AC19" i="3"/>
  <c r="AB19" i="3"/>
  <c r="AA19" i="3"/>
  <c r="Z19" i="3"/>
  <c r="AK18" i="3"/>
  <c r="AJ18" i="3"/>
  <c r="AI18" i="3"/>
  <c r="AH18" i="3"/>
  <c r="AF18" i="3"/>
  <c r="AE18" i="3"/>
  <c r="AC18" i="3"/>
  <c r="AB18" i="3"/>
  <c r="AA18" i="3"/>
  <c r="Z18" i="3"/>
  <c r="AK17" i="3"/>
  <c r="AJ17" i="3"/>
  <c r="AI17" i="3"/>
  <c r="AH17" i="3"/>
  <c r="AF17" i="3"/>
  <c r="AE17" i="3"/>
  <c r="AC17" i="3"/>
  <c r="AB17" i="3"/>
  <c r="AA17" i="3"/>
  <c r="Z17" i="3"/>
  <c r="AK16" i="3"/>
  <c r="AJ16" i="3"/>
  <c r="AI16" i="3"/>
  <c r="AH16" i="3"/>
  <c r="AF16" i="3"/>
  <c r="AE16" i="3"/>
  <c r="AC16" i="3"/>
  <c r="AB16" i="3"/>
  <c r="AA16" i="3"/>
  <c r="Z16" i="3"/>
  <c r="BK15" i="3"/>
  <c r="BJ15" i="3"/>
  <c r="BI15" i="3"/>
  <c r="BH15" i="3"/>
  <c r="BF15" i="3"/>
  <c r="BE15" i="3"/>
  <c r="BC15" i="3"/>
  <c r="BB15" i="3"/>
  <c r="BA15" i="3"/>
  <c r="AZ15" i="3"/>
  <c r="AK15" i="3"/>
  <c r="AJ15" i="3"/>
  <c r="AI15" i="3"/>
  <c r="AH15" i="3"/>
  <c r="AF15" i="3"/>
  <c r="AE15" i="3"/>
  <c r="AC15" i="3"/>
  <c r="AB15" i="3"/>
  <c r="AA15" i="3"/>
  <c r="Z15" i="3"/>
  <c r="AK14" i="3"/>
  <c r="AJ14" i="3"/>
  <c r="AI14" i="3"/>
  <c r="AH14" i="3"/>
  <c r="AF14" i="3"/>
  <c r="AE14" i="3"/>
  <c r="AC14" i="3"/>
  <c r="AB14" i="3"/>
  <c r="AA14" i="3"/>
  <c r="Z14" i="3"/>
  <c r="AK13" i="3"/>
  <c r="AJ13" i="3"/>
  <c r="AI13" i="3"/>
  <c r="AH13" i="3"/>
  <c r="AF13" i="3"/>
  <c r="AE13" i="3"/>
  <c r="AC13" i="3"/>
  <c r="AB13" i="3"/>
  <c r="AA13" i="3"/>
  <c r="Z13" i="3"/>
  <c r="AK12" i="3"/>
  <c r="AJ12" i="3"/>
  <c r="AI12" i="3"/>
  <c r="AH12" i="3"/>
  <c r="AF12" i="3"/>
  <c r="AE12" i="3"/>
  <c r="AC12" i="3"/>
  <c r="AB12" i="3"/>
  <c r="AA12" i="3"/>
  <c r="Z12" i="3"/>
  <c r="AK11" i="3"/>
  <c r="AJ11" i="3"/>
  <c r="AI11" i="3"/>
  <c r="AH11" i="3"/>
  <c r="AF11" i="3"/>
  <c r="AE11" i="3"/>
  <c r="AC11" i="3"/>
  <c r="AB11" i="3"/>
  <c r="AA11" i="3"/>
  <c r="Z11" i="3"/>
  <c r="AK10" i="3"/>
  <c r="AJ10" i="3"/>
  <c r="AI10" i="3"/>
  <c r="AH10" i="3"/>
  <c r="AF10" i="3"/>
  <c r="AE10" i="3"/>
  <c r="AC10" i="3"/>
  <c r="AB10" i="3"/>
  <c r="AA10" i="3"/>
  <c r="Z10" i="3"/>
  <c r="AB2" i="2"/>
  <c r="AB1" i="2"/>
  <c r="W8" i="2"/>
  <c r="V8" i="2"/>
  <c r="U8" i="2"/>
  <c r="T8" i="2"/>
  <c r="S8" i="2"/>
  <c r="R8" i="2"/>
  <c r="Q8" i="2"/>
  <c r="P8" i="2"/>
  <c r="O8" i="2"/>
  <c r="N8" i="2"/>
  <c r="M8" i="2"/>
  <c r="L8" i="2"/>
  <c r="K8" i="2"/>
  <c r="J8" i="2"/>
  <c r="I8" i="2"/>
  <c r="H8" i="2"/>
  <c r="G8" i="2"/>
  <c r="F8" i="2"/>
  <c r="E8" i="2"/>
  <c r="W100" i="2"/>
  <c r="V100" i="2"/>
  <c r="U100" i="2"/>
  <c r="T100" i="2"/>
  <c r="S100" i="2"/>
  <c r="R100" i="2"/>
  <c r="Q100" i="2"/>
  <c r="P100" i="2"/>
  <c r="O100" i="2"/>
  <c r="N100" i="2"/>
  <c r="M100" i="2"/>
  <c r="L100" i="2"/>
  <c r="K100" i="2"/>
  <c r="J100" i="2"/>
  <c r="I100" i="2"/>
  <c r="H100" i="2"/>
  <c r="G100" i="2"/>
  <c r="F100" i="2"/>
  <c r="E100" i="2"/>
  <c r="W99" i="2"/>
  <c r="V99" i="2"/>
  <c r="U99" i="2"/>
  <c r="T99" i="2"/>
  <c r="S99" i="2"/>
  <c r="R99" i="2"/>
  <c r="Q99" i="2"/>
  <c r="P99" i="2"/>
  <c r="O99" i="2"/>
  <c r="N99" i="2"/>
  <c r="M99" i="2"/>
  <c r="L99" i="2"/>
  <c r="K99" i="2"/>
  <c r="J99" i="2"/>
  <c r="I99" i="2"/>
  <c r="H99" i="2"/>
  <c r="G99" i="2"/>
  <c r="F99" i="2"/>
  <c r="E99" i="2"/>
  <c r="W98" i="2"/>
  <c r="V98" i="2"/>
  <c r="U98" i="2"/>
  <c r="T98" i="2"/>
  <c r="S98" i="2"/>
  <c r="R98" i="2"/>
  <c r="Q98" i="2"/>
  <c r="P98" i="2"/>
  <c r="O98" i="2"/>
  <c r="N98" i="2"/>
  <c r="M98" i="2"/>
  <c r="L98" i="2"/>
  <c r="K98" i="2"/>
  <c r="J98" i="2"/>
  <c r="I98" i="2"/>
  <c r="H98" i="2"/>
  <c r="G98" i="2"/>
  <c r="F98" i="2"/>
  <c r="E98" i="2"/>
  <c r="W97" i="2"/>
  <c r="V97" i="2"/>
  <c r="U97" i="2"/>
  <c r="T97" i="2"/>
  <c r="S97" i="2"/>
  <c r="R97" i="2"/>
  <c r="Q97" i="2"/>
  <c r="P97" i="2"/>
  <c r="O97" i="2"/>
  <c r="N97" i="2"/>
  <c r="M97" i="2"/>
  <c r="L97" i="2"/>
  <c r="K97" i="2"/>
  <c r="J97" i="2"/>
  <c r="I97" i="2"/>
  <c r="H97" i="2"/>
  <c r="G97" i="2"/>
  <c r="F97" i="2"/>
  <c r="E97" i="2"/>
  <c r="W96" i="2"/>
  <c r="V96" i="2"/>
  <c r="U96" i="2"/>
  <c r="T96" i="2"/>
  <c r="S96" i="2"/>
  <c r="R96" i="2"/>
  <c r="Q96" i="2"/>
  <c r="P96" i="2"/>
  <c r="O96" i="2"/>
  <c r="N96" i="2"/>
  <c r="M96" i="2"/>
  <c r="L96" i="2"/>
  <c r="K96" i="2"/>
  <c r="J96" i="2"/>
  <c r="I96" i="2"/>
  <c r="H96" i="2"/>
  <c r="G96" i="2"/>
  <c r="F96" i="2"/>
  <c r="E96" i="2"/>
  <c r="W95" i="2"/>
  <c r="V95" i="2"/>
  <c r="U95" i="2"/>
  <c r="T95" i="2"/>
  <c r="S95" i="2"/>
  <c r="R95" i="2"/>
  <c r="Q95" i="2"/>
  <c r="P95" i="2"/>
  <c r="O95" i="2"/>
  <c r="N95" i="2"/>
  <c r="M95" i="2"/>
  <c r="L95" i="2"/>
  <c r="K95" i="2"/>
  <c r="J95" i="2"/>
  <c r="I95" i="2"/>
  <c r="H95" i="2"/>
  <c r="G95" i="2"/>
  <c r="F95" i="2"/>
  <c r="E95" i="2"/>
  <c r="W94" i="2"/>
  <c r="V94" i="2"/>
  <c r="U94" i="2"/>
  <c r="T94" i="2"/>
  <c r="S94" i="2"/>
  <c r="R94" i="2"/>
  <c r="Q94" i="2"/>
  <c r="P94" i="2"/>
  <c r="O94" i="2"/>
  <c r="N94" i="2"/>
  <c r="M94" i="2"/>
  <c r="L94" i="2"/>
  <c r="K94" i="2"/>
  <c r="J94" i="2"/>
  <c r="I94" i="2"/>
  <c r="H94" i="2"/>
  <c r="G94" i="2"/>
  <c r="F94" i="2"/>
  <c r="E94" i="2"/>
  <c r="W93" i="2"/>
  <c r="V93" i="2"/>
  <c r="U93" i="2"/>
  <c r="T93" i="2"/>
  <c r="S93" i="2"/>
  <c r="R93" i="2"/>
  <c r="Q93" i="2"/>
  <c r="P93" i="2"/>
  <c r="O93" i="2"/>
  <c r="N93" i="2"/>
  <c r="M93" i="2"/>
  <c r="L93" i="2"/>
  <c r="K93" i="2"/>
  <c r="J93" i="2"/>
  <c r="I93" i="2"/>
  <c r="H93" i="2"/>
  <c r="G93" i="2"/>
  <c r="F93" i="2"/>
  <c r="E93" i="2"/>
  <c r="W92" i="2"/>
  <c r="V92" i="2"/>
  <c r="U92" i="2"/>
  <c r="T92" i="2"/>
  <c r="S92" i="2"/>
  <c r="R92" i="2"/>
  <c r="Q92" i="2"/>
  <c r="P92" i="2"/>
  <c r="O92" i="2"/>
  <c r="N92" i="2"/>
  <c r="M92" i="2"/>
  <c r="L92" i="2"/>
  <c r="K92" i="2"/>
  <c r="J92" i="2"/>
  <c r="I92" i="2"/>
  <c r="H92" i="2"/>
  <c r="G92" i="2"/>
  <c r="F92" i="2"/>
  <c r="E92" i="2"/>
  <c r="W91" i="2"/>
  <c r="V91" i="2"/>
  <c r="U91" i="2"/>
  <c r="T91" i="2"/>
  <c r="S91" i="2"/>
  <c r="R91" i="2"/>
  <c r="Q91" i="2"/>
  <c r="P91" i="2"/>
  <c r="O91" i="2"/>
  <c r="N91" i="2"/>
  <c r="M91" i="2"/>
  <c r="L91" i="2"/>
  <c r="K91" i="2"/>
  <c r="J91" i="2"/>
  <c r="I91" i="2"/>
  <c r="H91" i="2"/>
  <c r="G91" i="2"/>
  <c r="F91" i="2"/>
  <c r="E91" i="2"/>
  <c r="W90" i="2"/>
  <c r="V90" i="2"/>
  <c r="U90" i="2"/>
  <c r="T90" i="2"/>
  <c r="S90" i="2"/>
  <c r="R90" i="2"/>
  <c r="Q90" i="2"/>
  <c r="P90" i="2"/>
  <c r="O90" i="2"/>
  <c r="N90" i="2"/>
  <c r="M90" i="2"/>
  <c r="L90" i="2"/>
  <c r="K90" i="2"/>
  <c r="J90" i="2"/>
  <c r="I90" i="2"/>
  <c r="H90" i="2"/>
  <c r="G90" i="2"/>
  <c r="F90" i="2"/>
  <c r="E90" i="2"/>
  <c r="W89" i="2"/>
  <c r="V89" i="2"/>
  <c r="U89" i="2"/>
  <c r="T89" i="2"/>
  <c r="S89" i="2"/>
  <c r="R89" i="2"/>
  <c r="Q89" i="2"/>
  <c r="P89" i="2"/>
  <c r="O89" i="2"/>
  <c r="N89" i="2"/>
  <c r="M89" i="2"/>
  <c r="L89" i="2"/>
  <c r="K89" i="2"/>
  <c r="J89" i="2"/>
  <c r="I89" i="2"/>
  <c r="H89" i="2"/>
  <c r="G89" i="2"/>
  <c r="F89" i="2"/>
  <c r="E89" i="2"/>
  <c r="W88" i="2"/>
  <c r="V88" i="2"/>
  <c r="U88" i="2"/>
  <c r="T88" i="2"/>
  <c r="S88" i="2"/>
  <c r="R88" i="2"/>
  <c r="Q88" i="2"/>
  <c r="P88" i="2"/>
  <c r="O88" i="2"/>
  <c r="N88" i="2"/>
  <c r="M88" i="2"/>
  <c r="L88" i="2"/>
  <c r="K88" i="2"/>
  <c r="J88" i="2"/>
  <c r="I88" i="2"/>
  <c r="H88" i="2"/>
  <c r="G88" i="2"/>
  <c r="F88" i="2"/>
  <c r="E88" i="2"/>
  <c r="W87" i="2"/>
  <c r="V87" i="2"/>
  <c r="U87" i="2"/>
  <c r="T87" i="2"/>
  <c r="S87" i="2"/>
  <c r="R87" i="2"/>
  <c r="Q87" i="2"/>
  <c r="P87" i="2"/>
  <c r="O87" i="2"/>
  <c r="N87" i="2"/>
  <c r="M87" i="2"/>
  <c r="L87" i="2"/>
  <c r="K87" i="2"/>
  <c r="J87" i="2"/>
  <c r="I87" i="2"/>
  <c r="H87" i="2"/>
  <c r="G87" i="2"/>
  <c r="F87" i="2"/>
  <c r="E87" i="2"/>
  <c r="W86" i="2"/>
  <c r="V86" i="2"/>
  <c r="U86" i="2"/>
  <c r="T86" i="2"/>
  <c r="S86" i="2"/>
  <c r="R86" i="2"/>
  <c r="Q86" i="2"/>
  <c r="P86" i="2"/>
  <c r="O86" i="2"/>
  <c r="N86" i="2"/>
  <c r="M86" i="2"/>
  <c r="L86" i="2"/>
  <c r="K86" i="2"/>
  <c r="J86" i="2"/>
  <c r="I86" i="2"/>
  <c r="H86" i="2"/>
  <c r="G86" i="2"/>
  <c r="F86" i="2"/>
  <c r="E86" i="2"/>
  <c r="W85" i="2"/>
  <c r="V85" i="2"/>
  <c r="U85" i="2"/>
  <c r="T85" i="2"/>
  <c r="S85" i="2"/>
  <c r="R85" i="2"/>
  <c r="Q85" i="2"/>
  <c r="P85" i="2"/>
  <c r="O85" i="2"/>
  <c r="N85" i="2"/>
  <c r="M85" i="2"/>
  <c r="L85" i="2"/>
  <c r="K85" i="2"/>
  <c r="J85" i="2"/>
  <c r="I85" i="2"/>
  <c r="H85" i="2"/>
  <c r="G85" i="2"/>
  <c r="F85" i="2"/>
  <c r="E85" i="2"/>
  <c r="W84" i="2"/>
  <c r="V84" i="2"/>
  <c r="U84" i="2"/>
  <c r="T84" i="2"/>
  <c r="S84" i="2"/>
  <c r="R84" i="2"/>
  <c r="Q84" i="2"/>
  <c r="P84" i="2"/>
  <c r="O84" i="2"/>
  <c r="N84" i="2"/>
  <c r="M84" i="2"/>
  <c r="L84" i="2"/>
  <c r="K84" i="2"/>
  <c r="J84" i="2"/>
  <c r="I84" i="2"/>
  <c r="H84" i="2"/>
  <c r="G84" i="2"/>
  <c r="F84" i="2"/>
  <c r="E84" i="2"/>
  <c r="W83" i="2"/>
  <c r="V83" i="2"/>
  <c r="U83" i="2"/>
  <c r="T83" i="2"/>
  <c r="S83" i="2"/>
  <c r="R83" i="2"/>
  <c r="Q83" i="2"/>
  <c r="P83" i="2"/>
  <c r="O83" i="2"/>
  <c r="N83" i="2"/>
  <c r="M83" i="2"/>
  <c r="L83" i="2"/>
  <c r="K83" i="2"/>
  <c r="J83" i="2"/>
  <c r="I83" i="2"/>
  <c r="H83" i="2"/>
  <c r="G83" i="2"/>
  <c r="F83" i="2"/>
  <c r="E83" i="2"/>
  <c r="W82" i="2"/>
  <c r="V82" i="2"/>
  <c r="U82" i="2"/>
  <c r="T82" i="2"/>
  <c r="S82" i="2"/>
  <c r="R82" i="2"/>
  <c r="Q82" i="2"/>
  <c r="P82" i="2"/>
  <c r="O82" i="2"/>
  <c r="N82" i="2"/>
  <c r="M82" i="2"/>
  <c r="L82" i="2"/>
  <c r="K82" i="2"/>
  <c r="J82" i="2"/>
  <c r="I82" i="2"/>
  <c r="H82" i="2"/>
  <c r="G82" i="2"/>
  <c r="F82" i="2"/>
  <c r="E82" i="2"/>
  <c r="W81" i="2"/>
  <c r="V81" i="2"/>
  <c r="U81" i="2"/>
  <c r="T81" i="2"/>
  <c r="S81" i="2"/>
  <c r="R81" i="2"/>
  <c r="Q81" i="2"/>
  <c r="P81" i="2"/>
  <c r="O81" i="2"/>
  <c r="N81" i="2"/>
  <c r="M81" i="2"/>
  <c r="L81" i="2"/>
  <c r="K81" i="2"/>
  <c r="J81" i="2"/>
  <c r="I81" i="2"/>
  <c r="H81" i="2"/>
  <c r="G81" i="2"/>
  <c r="F81" i="2"/>
  <c r="E81" i="2"/>
  <c r="W80" i="2"/>
  <c r="V80" i="2"/>
  <c r="U80" i="2"/>
  <c r="T80" i="2"/>
  <c r="S80" i="2"/>
  <c r="R80" i="2"/>
  <c r="Q80" i="2"/>
  <c r="P80" i="2"/>
  <c r="O80" i="2"/>
  <c r="N80" i="2"/>
  <c r="M80" i="2"/>
  <c r="L80" i="2"/>
  <c r="K80" i="2"/>
  <c r="J80" i="2"/>
  <c r="I80" i="2"/>
  <c r="H80" i="2"/>
  <c r="G80" i="2"/>
  <c r="F80" i="2"/>
  <c r="E80" i="2"/>
  <c r="W79" i="2"/>
  <c r="V79" i="2"/>
  <c r="U79" i="2"/>
  <c r="T79" i="2"/>
  <c r="S79" i="2"/>
  <c r="R79" i="2"/>
  <c r="Q79" i="2"/>
  <c r="P79" i="2"/>
  <c r="O79" i="2"/>
  <c r="N79" i="2"/>
  <c r="M79" i="2"/>
  <c r="L79" i="2"/>
  <c r="K79" i="2"/>
  <c r="J79" i="2"/>
  <c r="I79" i="2"/>
  <c r="H79" i="2"/>
  <c r="G79" i="2"/>
  <c r="F79" i="2"/>
  <c r="E79" i="2"/>
  <c r="W78" i="2"/>
  <c r="V78" i="2"/>
  <c r="U78" i="2"/>
  <c r="T78" i="2"/>
  <c r="S78" i="2"/>
  <c r="R78" i="2"/>
  <c r="Q78" i="2"/>
  <c r="P78" i="2"/>
  <c r="O78" i="2"/>
  <c r="N78" i="2"/>
  <c r="M78" i="2"/>
  <c r="L78" i="2"/>
  <c r="K78" i="2"/>
  <c r="J78" i="2"/>
  <c r="I78" i="2"/>
  <c r="H78" i="2"/>
  <c r="G78" i="2"/>
  <c r="F78" i="2"/>
  <c r="E78" i="2"/>
  <c r="W77" i="2"/>
  <c r="V77" i="2"/>
  <c r="U77" i="2"/>
  <c r="T77" i="2"/>
  <c r="S77" i="2"/>
  <c r="R77" i="2"/>
  <c r="Q77" i="2"/>
  <c r="P77" i="2"/>
  <c r="O77" i="2"/>
  <c r="N77" i="2"/>
  <c r="M77" i="2"/>
  <c r="L77" i="2"/>
  <c r="K77" i="2"/>
  <c r="J77" i="2"/>
  <c r="I77" i="2"/>
  <c r="H77" i="2"/>
  <c r="G77" i="2"/>
  <c r="F77" i="2"/>
  <c r="E77" i="2"/>
  <c r="W76" i="2"/>
  <c r="V76" i="2"/>
  <c r="U76" i="2"/>
  <c r="T76" i="2"/>
  <c r="S76" i="2"/>
  <c r="R76" i="2"/>
  <c r="Q76" i="2"/>
  <c r="P76" i="2"/>
  <c r="O76" i="2"/>
  <c r="N76" i="2"/>
  <c r="M76" i="2"/>
  <c r="L76" i="2"/>
  <c r="K76" i="2"/>
  <c r="J76" i="2"/>
  <c r="I76" i="2"/>
  <c r="H76" i="2"/>
  <c r="G76" i="2"/>
  <c r="F76" i="2"/>
  <c r="E76" i="2"/>
  <c r="W75" i="2"/>
  <c r="V75" i="2"/>
  <c r="U75" i="2"/>
  <c r="T75" i="2"/>
  <c r="S75" i="2"/>
  <c r="R75" i="2"/>
  <c r="Q75" i="2"/>
  <c r="P75" i="2"/>
  <c r="O75" i="2"/>
  <c r="N75" i="2"/>
  <c r="M75" i="2"/>
  <c r="L75" i="2"/>
  <c r="K75" i="2"/>
  <c r="J75" i="2"/>
  <c r="I75" i="2"/>
  <c r="H75" i="2"/>
  <c r="G75" i="2"/>
  <c r="F75" i="2"/>
  <c r="E75" i="2"/>
  <c r="W74" i="2"/>
  <c r="V74" i="2"/>
  <c r="U74" i="2"/>
  <c r="T74" i="2"/>
  <c r="S74" i="2"/>
  <c r="R74" i="2"/>
  <c r="Q74" i="2"/>
  <c r="P74" i="2"/>
  <c r="O74" i="2"/>
  <c r="N74" i="2"/>
  <c r="M74" i="2"/>
  <c r="L74" i="2"/>
  <c r="K74" i="2"/>
  <c r="J74" i="2"/>
  <c r="I74" i="2"/>
  <c r="H74" i="2"/>
  <c r="G74" i="2"/>
  <c r="F74" i="2"/>
  <c r="E74" i="2"/>
  <c r="W73" i="2"/>
  <c r="V73" i="2"/>
  <c r="U73" i="2"/>
  <c r="T73" i="2"/>
  <c r="S73" i="2"/>
  <c r="R73" i="2"/>
  <c r="Q73" i="2"/>
  <c r="P73" i="2"/>
  <c r="O73" i="2"/>
  <c r="N73" i="2"/>
  <c r="M73" i="2"/>
  <c r="L73" i="2"/>
  <c r="K73" i="2"/>
  <c r="J73" i="2"/>
  <c r="I73" i="2"/>
  <c r="H73" i="2"/>
  <c r="G73" i="2"/>
  <c r="F73" i="2"/>
  <c r="E73" i="2"/>
  <c r="W72" i="2"/>
  <c r="V72" i="2"/>
  <c r="U72" i="2"/>
  <c r="T72" i="2"/>
  <c r="S72" i="2"/>
  <c r="R72" i="2"/>
  <c r="Q72" i="2"/>
  <c r="P72" i="2"/>
  <c r="O72" i="2"/>
  <c r="N72" i="2"/>
  <c r="M72" i="2"/>
  <c r="L72" i="2"/>
  <c r="K72" i="2"/>
  <c r="J72" i="2"/>
  <c r="I72" i="2"/>
  <c r="H72" i="2"/>
  <c r="G72" i="2"/>
  <c r="F72" i="2"/>
  <c r="E72" i="2"/>
  <c r="W71" i="2"/>
  <c r="V71" i="2"/>
  <c r="U71" i="2"/>
  <c r="T71" i="2"/>
  <c r="S71" i="2"/>
  <c r="R71" i="2"/>
  <c r="Q71" i="2"/>
  <c r="P71" i="2"/>
  <c r="O71" i="2"/>
  <c r="N71" i="2"/>
  <c r="M71" i="2"/>
  <c r="L71" i="2"/>
  <c r="K71" i="2"/>
  <c r="J71" i="2"/>
  <c r="I71" i="2"/>
  <c r="H71" i="2"/>
  <c r="G71" i="2"/>
  <c r="F71" i="2"/>
  <c r="E71" i="2"/>
  <c r="W70" i="2"/>
  <c r="V70" i="2"/>
  <c r="U70" i="2"/>
  <c r="T70" i="2"/>
  <c r="S70" i="2"/>
  <c r="R70" i="2"/>
  <c r="Q70" i="2"/>
  <c r="P70" i="2"/>
  <c r="O70" i="2"/>
  <c r="N70" i="2"/>
  <c r="M70" i="2"/>
  <c r="L70" i="2"/>
  <c r="K70" i="2"/>
  <c r="J70" i="2"/>
  <c r="I70" i="2"/>
  <c r="H70" i="2"/>
  <c r="G70" i="2"/>
  <c r="F70" i="2"/>
  <c r="E70" i="2"/>
  <c r="W69" i="2"/>
  <c r="V69" i="2"/>
  <c r="U69" i="2"/>
  <c r="T69" i="2"/>
  <c r="S69" i="2"/>
  <c r="R69" i="2"/>
  <c r="Q69" i="2"/>
  <c r="P69" i="2"/>
  <c r="O69" i="2"/>
  <c r="N69" i="2"/>
  <c r="M69" i="2"/>
  <c r="L69" i="2"/>
  <c r="K69" i="2"/>
  <c r="J69" i="2"/>
  <c r="I69" i="2"/>
  <c r="H69" i="2"/>
  <c r="G69" i="2"/>
  <c r="F69" i="2"/>
  <c r="E69" i="2"/>
  <c r="W68" i="2"/>
  <c r="V68" i="2"/>
  <c r="U68" i="2"/>
  <c r="T68" i="2"/>
  <c r="S68" i="2"/>
  <c r="R68" i="2"/>
  <c r="Q68" i="2"/>
  <c r="P68" i="2"/>
  <c r="O68" i="2"/>
  <c r="N68" i="2"/>
  <c r="M68" i="2"/>
  <c r="L68" i="2"/>
  <c r="K68" i="2"/>
  <c r="J68" i="2"/>
  <c r="I68" i="2"/>
  <c r="H68" i="2"/>
  <c r="G68" i="2"/>
  <c r="F68" i="2"/>
  <c r="E68" i="2"/>
  <c r="W67" i="2"/>
  <c r="V67" i="2"/>
  <c r="U67" i="2"/>
  <c r="T67" i="2"/>
  <c r="S67" i="2"/>
  <c r="R67" i="2"/>
  <c r="Q67" i="2"/>
  <c r="P67" i="2"/>
  <c r="O67" i="2"/>
  <c r="N67" i="2"/>
  <c r="M67" i="2"/>
  <c r="L67" i="2"/>
  <c r="K67" i="2"/>
  <c r="J67" i="2"/>
  <c r="I67" i="2"/>
  <c r="H67" i="2"/>
  <c r="G67" i="2"/>
  <c r="F67" i="2"/>
  <c r="E67" i="2"/>
  <c r="W66" i="2"/>
  <c r="V66" i="2"/>
  <c r="U66" i="2"/>
  <c r="T66" i="2"/>
  <c r="S66" i="2"/>
  <c r="R66" i="2"/>
  <c r="Q66" i="2"/>
  <c r="P66" i="2"/>
  <c r="O66" i="2"/>
  <c r="N66" i="2"/>
  <c r="M66" i="2"/>
  <c r="L66" i="2"/>
  <c r="K66" i="2"/>
  <c r="J66" i="2"/>
  <c r="I66" i="2"/>
  <c r="H66" i="2"/>
  <c r="G66" i="2"/>
  <c r="F66" i="2"/>
  <c r="E66" i="2"/>
  <c r="W65" i="2"/>
  <c r="V65" i="2"/>
  <c r="U65" i="2"/>
  <c r="T65" i="2"/>
  <c r="S65" i="2"/>
  <c r="R65" i="2"/>
  <c r="Q65" i="2"/>
  <c r="P65" i="2"/>
  <c r="O65" i="2"/>
  <c r="N65" i="2"/>
  <c r="M65" i="2"/>
  <c r="L65" i="2"/>
  <c r="K65" i="2"/>
  <c r="J65" i="2"/>
  <c r="I65" i="2"/>
  <c r="H65" i="2"/>
  <c r="G65" i="2"/>
  <c r="F65" i="2"/>
  <c r="E65" i="2"/>
  <c r="W64" i="2"/>
  <c r="V64" i="2"/>
  <c r="U64" i="2"/>
  <c r="T64" i="2"/>
  <c r="S64" i="2"/>
  <c r="R64" i="2"/>
  <c r="Q64" i="2"/>
  <c r="P64" i="2"/>
  <c r="O64" i="2"/>
  <c r="N64" i="2"/>
  <c r="M64" i="2"/>
  <c r="L64" i="2"/>
  <c r="K64" i="2"/>
  <c r="J64" i="2"/>
  <c r="I64" i="2"/>
  <c r="H64" i="2"/>
  <c r="G64" i="2"/>
  <c r="F64" i="2"/>
  <c r="E64" i="2"/>
  <c r="W63" i="2"/>
  <c r="V63" i="2"/>
  <c r="U63" i="2"/>
  <c r="T63" i="2"/>
  <c r="S63" i="2"/>
  <c r="R63" i="2"/>
  <c r="Q63" i="2"/>
  <c r="P63" i="2"/>
  <c r="O63" i="2"/>
  <c r="N63" i="2"/>
  <c r="M63" i="2"/>
  <c r="L63" i="2"/>
  <c r="K63" i="2"/>
  <c r="J63" i="2"/>
  <c r="I63" i="2"/>
  <c r="H63" i="2"/>
  <c r="G63" i="2"/>
  <c r="F63" i="2"/>
  <c r="E63" i="2"/>
  <c r="W62" i="2"/>
  <c r="V62" i="2"/>
  <c r="U62" i="2"/>
  <c r="T62" i="2"/>
  <c r="S62" i="2"/>
  <c r="R62" i="2"/>
  <c r="Q62" i="2"/>
  <c r="P62" i="2"/>
  <c r="O62" i="2"/>
  <c r="N62" i="2"/>
  <c r="M62" i="2"/>
  <c r="L62" i="2"/>
  <c r="K62" i="2"/>
  <c r="J62" i="2"/>
  <c r="I62" i="2"/>
  <c r="H62" i="2"/>
  <c r="G62" i="2"/>
  <c r="F62" i="2"/>
  <c r="E62" i="2"/>
  <c r="W61" i="2"/>
  <c r="V61" i="2"/>
  <c r="U61" i="2"/>
  <c r="T61" i="2"/>
  <c r="S61" i="2"/>
  <c r="R61" i="2"/>
  <c r="Q61" i="2"/>
  <c r="P61" i="2"/>
  <c r="O61" i="2"/>
  <c r="N61" i="2"/>
  <c r="M61" i="2"/>
  <c r="L61" i="2"/>
  <c r="K61" i="2"/>
  <c r="J61" i="2"/>
  <c r="I61" i="2"/>
  <c r="H61" i="2"/>
  <c r="G61" i="2"/>
  <c r="F61" i="2"/>
  <c r="E61" i="2"/>
  <c r="W60" i="2"/>
  <c r="V60" i="2"/>
  <c r="U60" i="2"/>
  <c r="T60" i="2"/>
  <c r="S60" i="2"/>
  <c r="R60" i="2"/>
  <c r="Q60" i="2"/>
  <c r="P60" i="2"/>
  <c r="O60" i="2"/>
  <c r="N60" i="2"/>
  <c r="M60" i="2"/>
  <c r="L60" i="2"/>
  <c r="K60" i="2"/>
  <c r="J60" i="2"/>
  <c r="I60" i="2"/>
  <c r="H60" i="2"/>
  <c r="G60" i="2"/>
  <c r="F60" i="2"/>
  <c r="E60" i="2"/>
  <c r="W59" i="2"/>
  <c r="V59" i="2"/>
  <c r="U59" i="2"/>
  <c r="T59" i="2"/>
  <c r="S59" i="2"/>
  <c r="R59" i="2"/>
  <c r="Q59" i="2"/>
  <c r="P59" i="2"/>
  <c r="O59" i="2"/>
  <c r="N59" i="2"/>
  <c r="M59" i="2"/>
  <c r="L59" i="2"/>
  <c r="K59" i="2"/>
  <c r="J59" i="2"/>
  <c r="I59" i="2"/>
  <c r="H59" i="2"/>
  <c r="G59" i="2"/>
  <c r="F59" i="2"/>
  <c r="E59" i="2"/>
  <c r="W58" i="2"/>
  <c r="V58" i="2"/>
  <c r="U58" i="2"/>
  <c r="T58" i="2"/>
  <c r="S58" i="2"/>
  <c r="R58" i="2"/>
  <c r="Q58" i="2"/>
  <c r="P58" i="2"/>
  <c r="O58" i="2"/>
  <c r="N58" i="2"/>
  <c r="M58" i="2"/>
  <c r="L58" i="2"/>
  <c r="K58" i="2"/>
  <c r="J58" i="2"/>
  <c r="I58" i="2"/>
  <c r="H58" i="2"/>
  <c r="G58" i="2"/>
  <c r="F58" i="2"/>
  <c r="E58" i="2"/>
  <c r="W57" i="2"/>
  <c r="V57" i="2"/>
  <c r="U57" i="2"/>
  <c r="T57" i="2"/>
  <c r="S57" i="2"/>
  <c r="R57" i="2"/>
  <c r="Q57" i="2"/>
  <c r="P57" i="2"/>
  <c r="O57" i="2"/>
  <c r="N57" i="2"/>
  <c r="M57" i="2"/>
  <c r="L57" i="2"/>
  <c r="K57" i="2"/>
  <c r="J57" i="2"/>
  <c r="I57" i="2"/>
  <c r="H57" i="2"/>
  <c r="G57" i="2"/>
  <c r="F57" i="2"/>
  <c r="E57" i="2"/>
  <c r="W56" i="2"/>
  <c r="V56" i="2"/>
  <c r="U56" i="2"/>
  <c r="T56" i="2"/>
  <c r="S56" i="2"/>
  <c r="R56" i="2"/>
  <c r="Q56" i="2"/>
  <c r="P56" i="2"/>
  <c r="O56" i="2"/>
  <c r="N56" i="2"/>
  <c r="M56" i="2"/>
  <c r="L56" i="2"/>
  <c r="K56" i="2"/>
  <c r="J56" i="2"/>
  <c r="I56" i="2"/>
  <c r="H56" i="2"/>
  <c r="G56" i="2"/>
  <c r="F56" i="2"/>
  <c r="E56" i="2"/>
  <c r="W55" i="2"/>
  <c r="V55" i="2"/>
  <c r="U55" i="2"/>
  <c r="T55" i="2"/>
  <c r="S55" i="2"/>
  <c r="R55" i="2"/>
  <c r="Q55" i="2"/>
  <c r="P55" i="2"/>
  <c r="O55" i="2"/>
  <c r="N55" i="2"/>
  <c r="M55" i="2"/>
  <c r="L55" i="2"/>
  <c r="K55" i="2"/>
  <c r="J55" i="2"/>
  <c r="I55" i="2"/>
  <c r="H55" i="2"/>
  <c r="G55" i="2"/>
  <c r="F55" i="2"/>
  <c r="E55" i="2"/>
  <c r="W54" i="2"/>
  <c r="V54" i="2"/>
  <c r="U54" i="2"/>
  <c r="T54" i="2"/>
  <c r="S54" i="2"/>
  <c r="R54" i="2"/>
  <c r="Q54" i="2"/>
  <c r="P54" i="2"/>
  <c r="O54" i="2"/>
  <c r="N54" i="2"/>
  <c r="M54" i="2"/>
  <c r="L54" i="2"/>
  <c r="K54" i="2"/>
  <c r="J54" i="2"/>
  <c r="I54" i="2"/>
  <c r="H54" i="2"/>
  <c r="G54" i="2"/>
  <c r="F54" i="2"/>
  <c r="E54" i="2"/>
  <c r="W53" i="2"/>
  <c r="V53" i="2"/>
  <c r="U53" i="2"/>
  <c r="T53" i="2"/>
  <c r="S53" i="2"/>
  <c r="R53" i="2"/>
  <c r="Q53" i="2"/>
  <c r="P53" i="2"/>
  <c r="O53" i="2"/>
  <c r="N53" i="2"/>
  <c r="M53" i="2"/>
  <c r="L53" i="2"/>
  <c r="K53" i="2"/>
  <c r="J53" i="2"/>
  <c r="I53" i="2"/>
  <c r="H53" i="2"/>
  <c r="G53" i="2"/>
  <c r="F53" i="2"/>
  <c r="E53" i="2"/>
  <c r="W52" i="2"/>
  <c r="V52" i="2"/>
  <c r="U52" i="2"/>
  <c r="T52" i="2"/>
  <c r="S52" i="2"/>
  <c r="R52" i="2"/>
  <c r="Q52" i="2"/>
  <c r="P52" i="2"/>
  <c r="O52" i="2"/>
  <c r="N52" i="2"/>
  <c r="M52" i="2"/>
  <c r="L52" i="2"/>
  <c r="K52" i="2"/>
  <c r="J52" i="2"/>
  <c r="I52" i="2"/>
  <c r="H52" i="2"/>
  <c r="G52" i="2"/>
  <c r="F52" i="2"/>
  <c r="E52" i="2"/>
  <c r="W51" i="2"/>
  <c r="V51" i="2"/>
  <c r="U51" i="2"/>
  <c r="T51" i="2"/>
  <c r="S51" i="2"/>
  <c r="R51" i="2"/>
  <c r="Q51" i="2"/>
  <c r="P51" i="2"/>
  <c r="O51" i="2"/>
  <c r="N51" i="2"/>
  <c r="M51" i="2"/>
  <c r="L51" i="2"/>
  <c r="K51" i="2"/>
  <c r="J51" i="2"/>
  <c r="I51" i="2"/>
  <c r="H51" i="2"/>
  <c r="G51" i="2"/>
  <c r="F51" i="2"/>
  <c r="E51" i="2"/>
  <c r="W50" i="2"/>
  <c r="V50" i="2"/>
  <c r="U50" i="2"/>
  <c r="T50" i="2"/>
  <c r="S50" i="2"/>
  <c r="R50" i="2"/>
  <c r="Q50" i="2"/>
  <c r="P50" i="2"/>
  <c r="O50" i="2"/>
  <c r="N50" i="2"/>
  <c r="M50" i="2"/>
  <c r="L50" i="2"/>
  <c r="K50" i="2"/>
  <c r="J50" i="2"/>
  <c r="I50" i="2"/>
  <c r="H50" i="2"/>
  <c r="G50" i="2"/>
  <c r="F50" i="2"/>
  <c r="E50" i="2"/>
  <c r="W49" i="2"/>
  <c r="V49" i="2"/>
  <c r="U49" i="2"/>
  <c r="T49" i="2"/>
  <c r="S49" i="2"/>
  <c r="R49" i="2"/>
  <c r="Q49" i="2"/>
  <c r="P49" i="2"/>
  <c r="O49" i="2"/>
  <c r="N49" i="2"/>
  <c r="M49" i="2"/>
  <c r="L49" i="2"/>
  <c r="K49" i="2"/>
  <c r="J49" i="2"/>
  <c r="I49" i="2"/>
  <c r="H49" i="2"/>
  <c r="G49" i="2"/>
  <c r="F49" i="2"/>
  <c r="E49" i="2"/>
  <c r="W48" i="2"/>
  <c r="V48" i="2"/>
  <c r="U48" i="2"/>
  <c r="T48" i="2"/>
  <c r="S48" i="2"/>
  <c r="R48" i="2"/>
  <c r="Q48" i="2"/>
  <c r="P48" i="2"/>
  <c r="O48" i="2"/>
  <c r="N48" i="2"/>
  <c r="M48" i="2"/>
  <c r="L48" i="2"/>
  <c r="K48" i="2"/>
  <c r="J48" i="2"/>
  <c r="I48" i="2"/>
  <c r="H48" i="2"/>
  <c r="G48" i="2"/>
  <c r="F48" i="2"/>
  <c r="E48" i="2"/>
  <c r="W47" i="2"/>
  <c r="V47" i="2"/>
  <c r="U47" i="2"/>
  <c r="T47" i="2"/>
  <c r="S47" i="2"/>
  <c r="R47" i="2"/>
  <c r="Q47" i="2"/>
  <c r="P47" i="2"/>
  <c r="O47" i="2"/>
  <c r="N47" i="2"/>
  <c r="M47" i="2"/>
  <c r="L47" i="2"/>
  <c r="K47" i="2"/>
  <c r="J47" i="2"/>
  <c r="I47" i="2"/>
  <c r="H47" i="2"/>
  <c r="G47" i="2"/>
  <c r="F47" i="2"/>
  <c r="E47" i="2"/>
  <c r="W46" i="2"/>
  <c r="V46" i="2"/>
  <c r="U46" i="2"/>
  <c r="T46" i="2"/>
  <c r="S46" i="2"/>
  <c r="R46" i="2"/>
  <c r="Q46" i="2"/>
  <c r="P46" i="2"/>
  <c r="O46" i="2"/>
  <c r="N46" i="2"/>
  <c r="M46" i="2"/>
  <c r="L46" i="2"/>
  <c r="K46" i="2"/>
  <c r="J46" i="2"/>
  <c r="I46" i="2"/>
  <c r="H46" i="2"/>
  <c r="G46" i="2"/>
  <c r="F46" i="2"/>
  <c r="E46" i="2"/>
  <c r="W45" i="2"/>
  <c r="V45" i="2"/>
  <c r="U45" i="2"/>
  <c r="T45" i="2"/>
  <c r="S45" i="2"/>
  <c r="R45" i="2"/>
  <c r="Q45" i="2"/>
  <c r="P45" i="2"/>
  <c r="O45" i="2"/>
  <c r="N45" i="2"/>
  <c r="M45" i="2"/>
  <c r="L45" i="2"/>
  <c r="K45" i="2"/>
  <c r="J45" i="2"/>
  <c r="I45" i="2"/>
  <c r="H45" i="2"/>
  <c r="G45" i="2"/>
  <c r="F45" i="2"/>
  <c r="E45" i="2"/>
  <c r="W44" i="2"/>
  <c r="V44" i="2"/>
  <c r="U44" i="2"/>
  <c r="T44" i="2"/>
  <c r="S44" i="2"/>
  <c r="R44" i="2"/>
  <c r="Q44" i="2"/>
  <c r="P44" i="2"/>
  <c r="O44" i="2"/>
  <c r="N44" i="2"/>
  <c r="M44" i="2"/>
  <c r="L44" i="2"/>
  <c r="K44" i="2"/>
  <c r="J44" i="2"/>
  <c r="I44" i="2"/>
  <c r="H44" i="2"/>
  <c r="G44" i="2"/>
  <c r="F44" i="2"/>
  <c r="E44" i="2"/>
  <c r="W43" i="2"/>
  <c r="V43" i="2"/>
  <c r="U43" i="2"/>
  <c r="T43" i="2"/>
  <c r="S43" i="2"/>
  <c r="R43" i="2"/>
  <c r="Q43" i="2"/>
  <c r="P43" i="2"/>
  <c r="O43" i="2"/>
  <c r="N43" i="2"/>
  <c r="M43" i="2"/>
  <c r="L43" i="2"/>
  <c r="K43" i="2"/>
  <c r="J43" i="2"/>
  <c r="I43" i="2"/>
  <c r="H43" i="2"/>
  <c r="G43" i="2"/>
  <c r="F43" i="2"/>
  <c r="E43" i="2"/>
  <c r="W42" i="2"/>
  <c r="V42" i="2"/>
  <c r="U42" i="2"/>
  <c r="T42" i="2"/>
  <c r="S42" i="2"/>
  <c r="R42" i="2"/>
  <c r="Q42" i="2"/>
  <c r="P42" i="2"/>
  <c r="O42" i="2"/>
  <c r="N42" i="2"/>
  <c r="M42" i="2"/>
  <c r="L42" i="2"/>
  <c r="K42" i="2"/>
  <c r="J42" i="2"/>
  <c r="I42" i="2"/>
  <c r="H42" i="2"/>
  <c r="G42" i="2"/>
  <c r="F42" i="2"/>
  <c r="E42" i="2"/>
  <c r="W41" i="2"/>
  <c r="V41" i="2"/>
  <c r="U41" i="2"/>
  <c r="T41" i="2"/>
  <c r="S41" i="2"/>
  <c r="R41" i="2"/>
  <c r="Q41" i="2"/>
  <c r="P41" i="2"/>
  <c r="O41" i="2"/>
  <c r="N41" i="2"/>
  <c r="M41" i="2"/>
  <c r="L41" i="2"/>
  <c r="K41" i="2"/>
  <c r="J41" i="2"/>
  <c r="I41" i="2"/>
  <c r="H41" i="2"/>
  <c r="G41" i="2"/>
  <c r="F41" i="2"/>
  <c r="E41" i="2"/>
  <c r="W40" i="2"/>
  <c r="V40" i="2"/>
  <c r="U40" i="2"/>
  <c r="T40" i="2"/>
  <c r="S40" i="2"/>
  <c r="R40" i="2"/>
  <c r="Q40" i="2"/>
  <c r="P40" i="2"/>
  <c r="O40" i="2"/>
  <c r="N40" i="2"/>
  <c r="M40" i="2"/>
  <c r="L40" i="2"/>
  <c r="K40" i="2"/>
  <c r="J40" i="2"/>
  <c r="I40" i="2"/>
  <c r="H40" i="2"/>
  <c r="G40" i="2"/>
  <c r="F40" i="2"/>
  <c r="E40" i="2"/>
  <c r="W39" i="2"/>
  <c r="V39" i="2"/>
  <c r="U39" i="2"/>
  <c r="T39" i="2"/>
  <c r="S39" i="2"/>
  <c r="R39" i="2"/>
  <c r="Q39" i="2"/>
  <c r="P39" i="2"/>
  <c r="O39" i="2"/>
  <c r="N39" i="2"/>
  <c r="M39" i="2"/>
  <c r="L39" i="2"/>
  <c r="K39" i="2"/>
  <c r="J39" i="2"/>
  <c r="I39" i="2"/>
  <c r="H39" i="2"/>
  <c r="G39" i="2"/>
  <c r="F39" i="2"/>
  <c r="E39" i="2"/>
  <c r="W38" i="2"/>
  <c r="V38" i="2"/>
  <c r="U38" i="2"/>
  <c r="T38" i="2"/>
  <c r="S38" i="2"/>
  <c r="R38" i="2"/>
  <c r="Q38" i="2"/>
  <c r="P38" i="2"/>
  <c r="O38" i="2"/>
  <c r="N38" i="2"/>
  <c r="M38" i="2"/>
  <c r="L38" i="2"/>
  <c r="K38" i="2"/>
  <c r="J38" i="2"/>
  <c r="I38" i="2"/>
  <c r="H38" i="2"/>
  <c r="G38" i="2"/>
  <c r="F38" i="2"/>
  <c r="E38" i="2"/>
  <c r="W37" i="2"/>
  <c r="V37" i="2"/>
  <c r="U37" i="2"/>
  <c r="T37" i="2"/>
  <c r="S37" i="2"/>
  <c r="R37" i="2"/>
  <c r="Q37" i="2"/>
  <c r="P37" i="2"/>
  <c r="O37" i="2"/>
  <c r="N37" i="2"/>
  <c r="M37" i="2"/>
  <c r="L37" i="2"/>
  <c r="K37" i="2"/>
  <c r="J37" i="2"/>
  <c r="I37" i="2"/>
  <c r="H37" i="2"/>
  <c r="G37" i="2"/>
  <c r="F37" i="2"/>
  <c r="D37" i="3"/>
  <c r="E37" i="2"/>
  <c r="W36" i="2"/>
  <c r="V36" i="2"/>
  <c r="U36" i="2"/>
  <c r="T36" i="2"/>
  <c r="S36" i="2"/>
  <c r="R36" i="2"/>
  <c r="Q36" i="2"/>
  <c r="P36" i="2"/>
  <c r="O36" i="2"/>
  <c r="N36" i="2"/>
  <c r="M36" i="2"/>
  <c r="L36" i="2"/>
  <c r="K36" i="2"/>
  <c r="J36" i="2"/>
  <c r="I36" i="2"/>
  <c r="H36" i="2"/>
  <c r="G36" i="2"/>
  <c r="F36" i="2"/>
  <c r="D36" i="3"/>
  <c r="E36" i="2"/>
  <c r="W35" i="2"/>
  <c r="V35" i="2"/>
  <c r="U35" i="2"/>
  <c r="T35" i="2"/>
  <c r="S35" i="2"/>
  <c r="R35" i="2"/>
  <c r="Q35" i="2"/>
  <c r="P35" i="2"/>
  <c r="O35" i="2"/>
  <c r="N35" i="2"/>
  <c r="M35" i="2"/>
  <c r="L35" i="2"/>
  <c r="K35" i="2"/>
  <c r="J35" i="2"/>
  <c r="I35" i="2"/>
  <c r="H35" i="2"/>
  <c r="G35" i="2"/>
  <c r="F35" i="2"/>
  <c r="D35" i="3"/>
  <c r="E35" i="2"/>
  <c r="W34" i="2"/>
  <c r="V34" i="2"/>
  <c r="U34" i="2"/>
  <c r="T34" i="2"/>
  <c r="S34" i="2"/>
  <c r="R34" i="2"/>
  <c r="Q34" i="2"/>
  <c r="P34" i="2"/>
  <c r="O34" i="2"/>
  <c r="N34" i="2"/>
  <c r="M34" i="2"/>
  <c r="L34" i="2"/>
  <c r="K34" i="2"/>
  <c r="J34" i="2"/>
  <c r="I34" i="2"/>
  <c r="H34" i="2"/>
  <c r="G34" i="2"/>
  <c r="F34" i="2"/>
  <c r="D34" i="3"/>
  <c r="E34" i="2"/>
  <c r="W33" i="2"/>
  <c r="V33" i="2"/>
  <c r="U33" i="2"/>
  <c r="T33" i="2"/>
  <c r="S33" i="2"/>
  <c r="R33" i="2"/>
  <c r="Q33" i="2"/>
  <c r="P33" i="2"/>
  <c r="O33" i="2"/>
  <c r="N33" i="2"/>
  <c r="M33" i="2"/>
  <c r="L33" i="2"/>
  <c r="K33" i="2"/>
  <c r="J33" i="2"/>
  <c r="I33" i="2"/>
  <c r="H33" i="2"/>
  <c r="G33" i="2"/>
  <c r="F33" i="2"/>
  <c r="D33" i="3"/>
  <c r="E33" i="2"/>
  <c r="W32" i="2"/>
  <c r="V32" i="2"/>
  <c r="U32" i="2"/>
  <c r="T32" i="2"/>
  <c r="S32" i="2"/>
  <c r="R32" i="2"/>
  <c r="Q32" i="2"/>
  <c r="P32" i="2"/>
  <c r="O32" i="2"/>
  <c r="N32" i="2"/>
  <c r="M32" i="2"/>
  <c r="L32" i="2"/>
  <c r="K32" i="2"/>
  <c r="J32" i="2"/>
  <c r="I32" i="2"/>
  <c r="H32" i="2"/>
  <c r="G32" i="2"/>
  <c r="F32" i="2"/>
  <c r="D32" i="3"/>
  <c r="E32" i="2"/>
  <c r="W31" i="2"/>
  <c r="V31" i="2"/>
  <c r="U31" i="2"/>
  <c r="T31" i="2"/>
  <c r="S31" i="2"/>
  <c r="R31" i="2"/>
  <c r="Q31" i="2"/>
  <c r="P31" i="2"/>
  <c r="O31" i="2"/>
  <c r="N31" i="2"/>
  <c r="M31" i="2"/>
  <c r="L31" i="2"/>
  <c r="K31" i="2"/>
  <c r="J31" i="2"/>
  <c r="I31" i="2"/>
  <c r="H31" i="2"/>
  <c r="G31" i="2"/>
  <c r="F31" i="2"/>
  <c r="D31" i="3"/>
  <c r="E31" i="2"/>
  <c r="W30" i="2"/>
  <c r="V30" i="2"/>
  <c r="U30" i="2"/>
  <c r="T30" i="2"/>
  <c r="S30" i="2"/>
  <c r="R30" i="2"/>
  <c r="Q30" i="2"/>
  <c r="P30" i="2"/>
  <c r="O30" i="2"/>
  <c r="N30" i="2"/>
  <c r="M30" i="2"/>
  <c r="L30" i="2"/>
  <c r="K30" i="2"/>
  <c r="J30" i="2"/>
  <c r="I30" i="2"/>
  <c r="H30" i="2"/>
  <c r="G30" i="2"/>
  <c r="F30" i="2"/>
  <c r="D30" i="3"/>
  <c r="E30" i="2"/>
  <c r="W29" i="2"/>
  <c r="V29" i="2"/>
  <c r="U29" i="2"/>
  <c r="T29" i="2"/>
  <c r="S29" i="2"/>
  <c r="R29" i="2"/>
  <c r="Q29" i="2"/>
  <c r="P29" i="2"/>
  <c r="O29" i="2"/>
  <c r="N29" i="2"/>
  <c r="M29" i="2"/>
  <c r="L29" i="2"/>
  <c r="K29" i="2"/>
  <c r="J29" i="2"/>
  <c r="I29" i="2"/>
  <c r="H29" i="2"/>
  <c r="G29" i="2"/>
  <c r="F29" i="2"/>
  <c r="D29" i="3"/>
  <c r="E29" i="2"/>
  <c r="W28" i="2"/>
  <c r="V28" i="2"/>
  <c r="U28" i="2"/>
  <c r="T28" i="2"/>
  <c r="S28" i="2"/>
  <c r="R28" i="2"/>
  <c r="Q28" i="2"/>
  <c r="P28" i="2"/>
  <c r="O28" i="2"/>
  <c r="N28" i="2"/>
  <c r="M28" i="2"/>
  <c r="L28" i="2"/>
  <c r="K28" i="2"/>
  <c r="J28" i="2"/>
  <c r="I28" i="2"/>
  <c r="H28" i="2"/>
  <c r="G28" i="2"/>
  <c r="F28" i="2"/>
  <c r="D28" i="3"/>
  <c r="E28" i="2"/>
  <c r="W27" i="2"/>
  <c r="V27" i="2"/>
  <c r="U27" i="2"/>
  <c r="T27" i="2"/>
  <c r="S27" i="2"/>
  <c r="R27" i="2"/>
  <c r="Q27" i="2"/>
  <c r="P27" i="2"/>
  <c r="O27" i="2"/>
  <c r="N27" i="2"/>
  <c r="M27" i="2"/>
  <c r="L27" i="2"/>
  <c r="K27" i="2"/>
  <c r="J27" i="2"/>
  <c r="I27" i="2"/>
  <c r="H27" i="2"/>
  <c r="G27" i="2"/>
  <c r="F27" i="2"/>
  <c r="D27" i="3"/>
  <c r="E27" i="2"/>
  <c r="W26" i="2"/>
  <c r="V26" i="2"/>
  <c r="U26" i="2"/>
  <c r="T26" i="2"/>
  <c r="S26" i="2"/>
  <c r="R26" i="2"/>
  <c r="Q26" i="2"/>
  <c r="P26" i="2"/>
  <c r="O26" i="2"/>
  <c r="N26" i="2"/>
  <c r="M26" i="2"/>
  <c r="L26" i="2"/>
  <c r="K26" i="2"/>
  <c r="J26" i="2"/>
  <c r="I26" i="2"/>
  <c r="H26" i="2"/>
  <c r="G26" i="2"/>
  <c r="F26" i="2"/>
  <c r="D26" i="3"/>
  <c r="E26" i="2"/>
  <c r="W25" i="2"/>
  <c r="V25" i="2"/>
  <c r="U25" i="2"/>
  <c r="T25" i="2"/>
  <c r="S25" i="2"/>
  <c r="R25" i="2"/>
  <c r="Q25" i="2"/>
  <c r="P25" i="2"/>
  <c r="O25" i="2"/>
  <c r="N25" i="2"/>
  <c r="M25" i="2"/>
  <c r="L25" i="2"/>
  <c r="K25" i="2"/>
  <c r="J25" i="2"/>
  <c r="I25" i="2"/>
  <c r="H25" i="2"/>
  <c r="G25" i="2"/>
  <c r="F25" i="2"/>
  <c r="D25" i="3"/>
  <c r="E25" i="2"/>
  <c r="W24" i="2"/>
  <c r="V24" i="2"/>
  <c r="U24" i="2"/>
  <c r="T24" i="2"/>
  <c r="S24" i="2"/>
  <c r="R24" i="2"/>
  <c r="Q24" i="2"/>
  <c r="P24" i="2"/>
  <c r="O24" i="2"/>
  <c r="N24" i="2"/>
  <c r="M24" i="2"/>
  <c r="L24" i="2"/>
  <c r="K24" i="2"/>
  <c r="J24" i="2"/>
  <c r="I24" i="2"/>
  <c r="H24" i="2"/>
  <c r="G24" i="2"/>
  <c r="F24" i="2"/>
  <c r="D24" i="3"/>
  <c r="E24" i="2"/>
  <c r="W23" i="2"/>
  <c r="V23" i="2"/>
  <c r="U23" i="2"/>
  <c r="T23" i="2"/>
  <c r="S23" i="2"/>
  <c r="R23" i="2"/>
  <c r="Q23" i="2"/>
  <c r="P23" i="2"/>
  <c r="O23" i="2"/>
  <c r="N23" i="2"/>
  <c r="M23" i="2"/>
  <c r="L23" i="2"/>
  <c r="K23" i="2"/>
  <c r="J23" i="2"/>
  <c r="I23" i="2"/>
  <c r="H23" i="2"/>
  <c r="G23" i="2"/>
  <c r="F23" i="2"/>
  <c r="D23" i="3"/>
  <c r="E23" i="2"/>
  <c r="W22" i="2"/>
  <c r="V22" i="2"/>
  <c r="U22" i="2"/>
  <c r="T22" i="2"/>
  <c r="S22" i="2"/>
  <c r="R22" i="2"/>
  <c r="Q22" i="2"/>
  <c r="P22" i="2"/>
  <c r="O22" i="2"/>
  <c r="N22" i="2"/>
  <c r="M22" i="2"/>
  <c r="L22" i="2"/>
  <c r="K22" i="2"/>
  <c r="J22" i="2"/>
  <c r="I22" i="2"/>
  <c r="H22" i="2"/>
  <c r="G22" i="2"/>
  <c r="F22" i="2"/>
  <c r="D22" i="3"/>
  <c r="E22" i="2"/>
  <c r="W21" i="2"/>
  <c r="V21" i="2"/>
  <c r="U21" i="2"/>
  <c r="T21" i="2"/>
  <c r="S21" i="2"/>
  <c r="R21" i="2"/>
  <c r="Q21" i="2"/>
  <c r="P21" i="2"/>
  <c r="O21" i="2"/>
  <c r="N21" i="2"/>
  <c r="M21" i="2"/>
  <c r="L21" i="2"/>
  <c r="K21" i="2"/>
  <c r="J21" i="2"/>
  <c r="I21" i="2"/>
  <c r="H21" i="2"/>
  <c r="G21" i="2"/>
  <c r="F21" i="2"/>
  <c r="D21" i="3"/>
  <c r="E21" i="2"/>
  <c r="W20" i="2"/>
  <c r="V20" i="2"/>
  <c r="U20" i="2"/>
  <c r="T20" i="2"/>
  <c r="S20" i="2"/>
  <c r="R20" i="2"/>
  <c r="Q20" i="2"/>
  <c r="P20" i="2"/>
  <c r="O20" i="2"/>
  <c r="N20" i="2"/>
  <c r="M20" i="2"/>
  <c r="L20" i="2"/>
  <c r="K20" i="2"/>
  <c r="J20" i="2"/>
  <c r="I20" i="2"/>
  <c r="H20" i="2"/>
  <c r="G20" i="2"/>
  <c r="F20" i="2"/>
  <c r="D20" i="3"/>
  <c r="E20" i="2"/>
  <c r="W19" i="2"/>
  <c r="V19" i="2"/>
  <c r="U19" i="2"/>
  <c r="T19" i="2"/>
  <c r="S19" i="2"/>
  <c r="R19" i="2"/>
  <c r="Q19" i="2"/>
  <c r="P19" i="2"/>
  <c r="O19" i="2"/>
  <c r="N19" i="2"/>
  <c r="M19" i="2"/>
  <c r="L19" i="2"/>
  <c r="K19" i="2"/>
  <c r="J19" i="2"/>
  <c r="I19" i="2"/>
  <c r="H19" i="2"/>
  <c r="G19" i="2"/>
  <c r="F19" i="2"/>
  <c r="D19" i="3"/>
  <c r="E19" i="2"/>
  <c r="W18" i="2"/>
  <c r="V18" i="2"/>
  <c r="U18" i="2"/>
  <c r="T18" i="2"/>
  <c r="S18" i="2"/>
  <c r="R18" i="2"/>
  <c r="Q18" i="2"/>
  <c r="P18" i="2"/>
  <c r="O18" i="2"/>
  <c r="N18" i="2"/>
  <c r="M18" i="2"/>
  <c r="L18" i="2"/>
  <c r="K18" i="2"/>
  <c r="J18" i="2"/>
  <c r="I18" i="2"/>
  <c r="H18" i="2"/>
  <c r="G18" i="2"/>
  <c r="F18" i="2"/>
  <c r="D18" i="3"/>
  <c r="E18" i="2"/>
  <c r="W17" i="2"/>
  <c r="V17" i="2"/>
  <c r="U17" i="2"/>
  <c r="T17" i="2"/>
  <c r="S17" i="2"/>
  <c r="R17" i="2"/>
  <c r="Q17" i="2"/>
  <c r="P17" i="2"/>
  <c r="O17" i="2"/>
  <c r="N17" i="2"/>
  <c r="M17" i="2"/>
  <c r="L17" i="2"/>
  <c r="K17" i="2"/>
  <c r="J17" i="2"/>
  <c r="I17" i="2"/>
  <c r="H17" i="2"/>
  <c r="G17" i="2"/>
  <c r="F17" i="2"/>
  <c r="D17" i="3"/>
  <c r="E17" i="2"/>
  <c r="W16" i="2"/>
  <c r="V16" i="2"/>
  <c r="U16" i="2"/>
  <c r="T16" i="2"/>
  <c r="S16" i="2"/>
  <c r="R16" i="2"/>
  <c r="Q16" i="2"/>
  <c r="P16" i="2"/>
  <c r="O16" i="2"/>
  <c r="N16" i="2"/>
  <c r="M16" i="2"/>
  <c r="L16" i="2"/>
  <c r="K16" i="2"/>
  <c r="J16" i="2"/>
  <c r="I16" i="2"/>
  <c r="H16" i="2"/>
  <c r="G16" i="2"/>
  <c r="F16" i="2"/>
  <c r="D16" i="3"/>
  <c r="E16" i="2"/>
  <c r="W15" i="2"/>
  <c r="V15" i="2"/>
  <c r="U15" i="2"/>
  <c r="T15" i="2"/>
  <c r="S15" i="2"/>
  <c r="R15" i="2"/>
  <c r="Q15" i="2"/>
  <c r="P15" i="2"/>
  <c r="O15" i="2"/>
  <c r="N15" i="2"/>
  <c r="M15" i="2"/>
  <c r="L15" i="2"/>
  <c r="K15" i="2"/>
  <c r="J15" i="2"/>
  <c r="I15" i="2"/>
  <c r="H15" i="2"/>
  <c r="G15" i="2"/>
  <c r="F15" i="2"/>
  <c r="D15" i="3"/>
  <c r="E15" i="2"/>
  <c r="W14" i="2"/>
  <c r="V14" i="2"/>
  <c r="U14" i="2"/>
  <c r="T14" i="2"/>
  <c r="S14" i="2"/>
  <c r="R14" i="2"/>
  <c r="Q14" i="2"/>
  <c r="P14" i="2"/>
  <c r="O14" i="2"/>
  <c r="N14" i="2"/>
  <c r="M14" i="2"/>
  <c r="L14" i="2"/>
  <c r="K14" i="2"/>
  <c r="J14" i="2"/>
  <c r="I14" i="2"/>
  <c r="H14" i="2"/>
  <c r="G14" i="2"/>
  <c r="F14" i="2"/>
  <c r="D14" i="3"/>
  <c r="E14" i="2"/>
  <c r="W13" i="2"/>
  <c r="V13" i="2"/>
  <c r="U13" i="2"/>
  <c r="T13" i="2"/>
  <c r="S13" i="2"/>
  <c r="R13" i="2"/>
  <c r="Q13" i="2"/>
  <c r="P13" i="2"/>
  <c r="O13" i="2"/>
  <c r="N13" i="2"/>
  <c r="M13" i="2"/>
  <c r="L13" i="2"/>
  <c r="K13" i="2"/>
  <c r="J13" i="2"/>
  <c r="I13" i="2"/>
  <c r="H13" i="2"/>
  <c r="G13" i="2"/>
  <c r="F13" i="2"/>
  <c r="D13" i="3"/>
  <c r="E13" i="2"/>
  <c r="W12" i="2"/>
  <c r="V12" i="2"/>
  <c r="U12" i="2"/>
  <c r="T12" i="2"/>
  <c r="S12" i="2"/>
  <c r="R12" i="2"/>
  <c r="Q12" i="2"/>
  <c r="P12" i="2"/>
  <c r="O12" i="2"/>
  <c r="N12" i="2"/>
  <c r="M12" i="2"/>
  <c r="L12" i="2"/>
  <c r="K12" i="2"/>
  <c r="J12" i="2"/>
  <c r="I12" i="2"/>
  <c r="H12" i="2"/>
  <c r="G12" i="2"/>
  <c r="F12" i="2"/>
  <c r="D12" i="3"/>
  <c r="E12" i="2"/>
  <c r="W11" i="2"/>
  <c r="V11" i="2"/>
  <c r="U11" i="2"/>
  <c r="T11" i="2"/>
  <c r="S11" i="2"/>
  <c r="R11" i="2"/>
  <c r="Q11" i="2"/>
  <c r="P11" i="2"/>
  <c r="O11" i="2"/>
  <c r="N11" i="2"/>
  <c r="M11" i="2"/>
  <c r="L11" i="2"/>
  <c r="K11" i="2"/>
  <c r="J11" i="2"/>
  <c r="I11" i="2"/>
  <c r="H11" i="2"/>
  <c r="G11" i="2"/>
  <c r="F11" i="2"/>
  <c r="D11" i="3"/>
  <c r="E11" i="2"/>
  <c r="W10" i="2"/>
  <c r="V10" i="2"/>
  <c r="U10" i="2"/>
  <c r="T10" i="2"/>
  <c r="S10" i="2"/>
  <c r="R10" i="2"/>
  <c r="Q10" i="2"/>
  <c r="P10" i="2"/>
  <c r="O10" i="2"/>
  <c r="N10" i="2"/>
  <c r="M10" i="2"/>
  <c r="L10" i="2"/>
  <c r="K10" i="2"/>
  <c r="J10" i="2"/>
  <c r="I10" i="2"/>
  <c r="H10" i="2"/>
  <c r="G10" i="2"/>
  <c r="F10" i="2"/>
  <c r="E10" i="2"/>
  <c r="D100" i="5"/>
  <c r="C100" i="5"/>
  <c r="B100" i="5"/>
  <c r="A100" i="5"/>
  <c r="D99" i="5"/>
  <c r="C99" i="5"/>
  <c r="B99" i="5"/>
  <c r="A99" i="5"/>
  <c r="D98" i="5"/>
  <c r="C98" i="5"/>
  <c r="B98" i="5"/>
  <c r="A98" i="5"/>
  <c r="D97" i="5"/>
  <c r="C97" i="5"/>
  <c r="B97" i="5"/>
  <c r="A97" i="5"/>
  <c r="D96" i="5"/>
  <c r="C96" i="5"/>
  <c r="B96" i="5"/>
  <c r="A96" i="5"/>
  <c r="D95" i="5"/>
  <c r="C95" i="5"/>
  <c r="B95" i="5"/>
  <c r="A95" i="5"/>
  <c r="D94" i="5"/>
  <c r="C94" i="5"/>
  <c r="B94" i="5"/>
  <c r="A94" i="5"/>
  <c r="D93" i="5"/>
  <c r="C93" i="5"/>
  <c r="B93" i="5"/>
  <c r="A93" i="5"/>
  <c r="D92" i="5"/>
  <c r="C92" i="5"/>
  <c r="B92" i="5"/>
  <c r="A92" i="5"/>
  <c r="D91" i="5"/>
  <c r="C91" i="5"/>
  <c r="B91" i="5"/>
  <c r="A91" i="5"/>
  <c r="D90" i="5"/>
  <c r="C90" i="5"/>
  <c r="B90" i="5"/>
  <c r="A90" i="5"/>
  <c r="D89" i="5"/>
  <c r="C89" i="5"/>
  <c r="B89" i="5"/>
  <c r="A89" i="5"/>
  <c r="D88" i="5"/>
  <c r="C88" i="5"/>
  <c r="B88" i="5"/>
  <c r="A88" i="5"/>
  <c r="D87" i="5"/>
  <c r="C87" i="5"/>
  <c r="B87" i="5"/>
  <c r="A87" i="5"/>
  <c r="D86" i="5"/>
  <c r="C86" i="5"/>
  <c r="B86" i="5"/>
  <c r="A86" i="5"/>
  <c r="D85" i="5"/>
  <c r="C85" i="5"/>
  <c r="B85" i="5"/>
  <c r="A85" i="5"/>
  <c r="D84" i="5"/>
  <c r="C84" i="5"/>
  <c r="B84" i="5"/>
  <c r="A84" i="5"/>
  <c r="D83" i="5"/>
  <c r="C83" i="5"/>
  <c r="B83" i="5"/>
  <c r="A83" i="5"/>
  <c r="D82" i="5"/>
  <c r="C82" i="5"/>
  <c r="B82" i="5"/>
  <c r="A82" i="5"/>
  <c r="D81" i="5"/>
  <c r="C81" i="5"/>
  <c r="B81" i="5"/>
  <c r="A81" i="5"/>
  <c r="D80" i="5"/>
  <c r="C80" i="5"/>
  <c r="B80" i="5"/>
  <c r="A80" i="5"/>
  <c r="D79" i="5"/>
  <c r="C79" i="5"/>
  <c r="B79" i="5"/>
  <c r="A79" i="5"/>
  <c r="D78" i="5"/>
  <c r="C78" i="5"/>
  <c r="B78" i="5"/>
  <c r="A78" i="5"/>
  <c r="D77" i="5"/>
  <c r="C77" i="5"/>
  <c r="B77" i="5"/>
  <c r="A77" i="5"/>
  <c r="D76" i="5"/>
  <c r="C76" i="5"/>
  <c r="B76" i="5"/>
  <c r="A76" i="5"/>
  <c r="D75" i="5"/>
  <c r="C75" i="5"/>
  <c r="B75" i="5"/>
  <c r="A75" i="5"/>
  <c r="D74" i="5"/>
  <c r="C74" i="5"/>
  <c r="B74" i="5"/>
  <c r="A74" i="5"/>
  <c r="D73" i="5"/>
  <c r="C73" i="5"/>
  <c r="B73" i="5"/>
  <c r="A73" i="5"/>
  <c r="D72" i="5"/>
  <c r="C72" i="5"/>
  <c r="B72" i="5"/>
  <c r="A72" i="5"/>
  <c r="D71" i="5"/>
  <c r="C71" i="5"/>
  <c r="B71" i="5"/>
  <c r="A71" i="5"/>
  <c r="D70" i="5"/>
  <c r="C70" i="5"/>
  <c r="B70" i="5"/>
  <c r="A70" i="5"/>
  <c r="D69" i="5"/>
  <c r="C69" i="5"/>
  <c r="B69" i="5"/>
  <c r="A69" i="5"/>
  <c r="D68" i="5"/>
  <c r="C68" i="5"/>
  <c r="B68" i="5"/>
  <c r="A68" i="5"/>
  <c r="D67" i="5"/>
  <c r="C67" i="5"/>
  <c r="B67" i="5"/>
  <c r="A67" i="5"/>
  <c r="D66" i="5"/>
  <c r="C66" i="5"/>
  <c r="B66" i="5"/>
  <c r="A66" i="5"/>
  <c r="D65" i="5"/>
  <c r="C65" i="5"/>
  <c r="B65" i="5"/>
  <c r="A65" i="5"/>
  <c r="D64" i="5"/>
  <c r="C64" i="5"/>
  <c r="B64" i="5"/>
  <c r="A64" i="5"/>
  <c r="D63" i="5"/>
  <c r="C63" i="5"/>
  <c r="B63" i="5"/>
  <c r="A63" i="5"/>
  <c r="D62" i="5"/>
  <c r="C62" i="5"/>
  <c r="B62" i="5"/>
  <c r="A62" i="5"/>
  <c r="D61" i="5"/>
  <c r="C61" i="5"/>
  <c r="B61" i="5"/>
  <c r="A61" i="5"/>
  <c r="D60" i="5"/>
  <c r="C60" i="5"/>
  <c r="B60" i="5"/>
  <c r="A60" i="5"/>
  <c r="D59" i="5"/>
  <c r="C59" i="5"/>
  <c r="B59" i="5"/>
  <c r="A59" i="5"/>
  <c r="D58" i="5"/>
  <c r="C58" i="5"/>
  <c r="B58" i="5"/>
  <c r="A58" i="5"/>
  <c r="D57" i="5"/>
  <c r="C57" i="5"/>
  <c r="B57" i="5"/>
  <c r="A57" i="5"/>
  <c r="D56" i="5"/>
  <c r="C56" i="5"/>
  <c r="B56" i="5"/>
  <c r="A56" i="5"/>
  <c r="D55" i="5"/>
  <c r="C55" i="5"/>
  <c r="B55" i="5"/>
  <c r="A55" i="5"/>
  <c r="D54" i="5"/>
  <c r="C54" i="5"/>
  <c r="B54" i="5"/>
  <c r="A54" i="5"/>
  <c r="D53" i="5"/>
  <c r="C53" i="5"/>
  <c r="B53" i="5"/>
  <c r="A53" i="5"/>
  <c r="D52" i="5"/>
  <c r="C52" i="5"/>
  <c r="B52" i="5"/>
  <c r="A52" i="5"/>
  <c r="D51" i="5"/>
  <c r="C51" i="5"/>
  <c r="B51" i="5"/>
  <c r="A51" i="5"/>
  <c r="D50" i="5"/>
  <c r="C50" i="5"/>
  <c r="B50" i="5"/>
  <c r="A50" i="5"/>
  <c r="D49" i="5"/>
  <c r="C49" i="5"/>
  <c r="B49" i="5"/>
  <c r="A49" i="5"/>
  <c r="D48" i="5"/>
  <c r="C48" i="5"/>
  <c r="B48" i="5"/>
  <c r="A48" i="5"/>
  <c r="D47" i="5"/>
  <c r="C47" i="5"/>
  <c r="B47" i="5"/>
  <c r="A47" i="5"/>
  <c r="D46" i="5"/>
  <c r="C46" i="5"/>
  <c r="B46" i="5"/>
  <c r="A46" i="5"/>
  <c r="D45" i="5"/>
  <c r="C45" i="5"/>
  <c r="B45" i="5"/>
  <c r="A45" i="5"/>
  <c r="D44" i="5"/>
  <c r="C44" i="5"/>
  <c r="B44" i="5"/>
  <c r="A44" i="5"/>
  <c r="D43" i="5"/>
  <c r="C43" i="5"/>
  <c r="B43" i="5"/>
  <c r="A43" i="5"/>
  <c r="D42" i="5"/>
  <c r="C42" i="5"/>
  <c r="B42" i="5"/>
  <c r="A42" i="5"/>
  <c r="D41" i="5"/>
  <c r="C41" i="5"/>
  <c r="B41" i="5"/>
  <c r="A41" i="5"/>
  <c r="D40" i="5"/>
  <c r="C40" i="5"/>
  <c r="B40" i="5"/>
  <c r="A40" i="5"/>
  <c r="D39" i="5"/>
  <c r="C39" i="5"/>
  <c r="B39" i="5"/>
  <c r="A39" i="5"/>
  <c r="D38" i="5"/>
  <c r="C38" i="5"/>
  <c r="B38" i="5"/>
  <c r="A38" i="5"/>
  <c r="D37" i="5"/>
  <c r="C37" i="5"/>
  <c r="B37" i="5"/>
  <c r="A37" i="5"/>
  <c r="D36" i="5"/>
  <c r="C36" i="5"/>
  <c r="B36" i="5"/>
  <c r="A36" i="5"/>
  <c r="D35" i="5"/>
  <c r="C35" i="5"/>
  <c r="B35" i="5"/>
  <c r="A35" i="5"/>
  <c r="D34" i="5"/>
  <c r="C34" i="5"/>
  <c r="B34" i="5"/>
  <c r="A34" i="5"/>
  <c r="D33" i="5"/>
  <c r="C33" i="5"/>
  <c r="B33" i="5"/>
  <c r="A33" i="5"/>
  <c r="D32" i="5"/>
  <c r="C32" i="5"/>
  <c r="B32" i="5"/>
  <c r="A32" i="5"/>
  <c r="D31" i="5"/>
  <c r="C31" i="5"/>
  <c r="B31" i="5"/>
  <c r="A31" i="5"/>
  <c r="D30" i="5"/>
  <c r="C30" i="5"/>
  <c r="B30" i="5"/>
  <c r="A30" i="5"/>
  <c r="D29" i="5"/>
  <c r="C29" i="5"/>
  <c r="B29" i="5"/>
  <c r="A29" i="5"/>
  <c r="D28" i="5"/>
  <c r="C28" i="5"/>
  <c r="B28" i="5"/>
  <c r="A28" i="5"/>
  <c r="D27" i="5"/>
  <c r="C27" i="5"/>
  <c r="B27" i="5"/>
  <c r="A27" i="5"/>
  <c r="D26" i="5"/>
  <c r="C26" i="5"/>
  <c r="B26" i="5"/>
  <c r="A26" i="5"/>
  <c r="D25" i="5"/>
  <c r="C25" i="5"/>
  <c r="B25" i="5"/>
  <c r="A25" i="5"/>
  <c r="D24" i="5"/>
  <c r="C24" i="5"/>
  <c r="B24" i="5"/>
  <c r="A24" i="5"/>
  <c r="D23" i="5"/>
  <c r="C23" i="5"/>
  <c r="B23" i="5"/>
  <c r="A23" i="5"/>
  <c r="D22" i="5"/>
  <c r="C22" i="5"/>
  <c r="B22" i="5"/>
  <c r="A22" i="5"/>
  <c r="D21" i="5"/>
  <c r="C21" i="5"/>
  <c r="B21" i="5"/>
  <c r="A21" i="5"/>
  <c r="D20" i="5"/>
  <c r="C20" i="5"/>
  <c r="B20" i="5"/>
  <c r="A20" i="5"/>
  <c r="D19" i="5"/>
  <c r="C19" i="5"/>
  <c r="B19" i="5"/>
  <c r="A19" i="5"/>
  <c r="D18" i="5"/>
  <c r="C18" i="5"/>
  <c r="B18" i="5"/>
  <c r="A18" i="5"/>
  <c r="D17" i="5"/>
  <c r="C17" i="5"/>
  <c r="B17" i="5"/>
  <c r="A17" i="5"/>
  <c r="D16" i="5"/>
  <c r="C16" i="5"/>
  <c r="B16" i="5"/>
  <c r="A16" i="5"/>
  <c r="D15" i="5"/>
  <c r="C15" i="5"/>
  <c r="B15" i="5"/>
  <c r="A15" i="5"/>
  <c r="D14" i="5"/>
  <c r="C14" i="5"/>
  <c r="B14" i="5"/>
  <c r="A14" i="5"/>
  <c r="D13" i="5"/>
  <c r="C13" i="5"/>
  <c r="B13" i="5"/>
  <c r="A13" i="5"/>
  <c r="D12" i="5"/>
  <c r="C12" i="5"/>
  <c r="B12" i="5"/>
  <c r="A12" i="5"/>
  <c r="D11" i="5"/>
  <c r="C11" i="5"/>
  <c r="B11" i="5"/>
  <c r="A11" i="5"/>
  <c r="D10" i="5"/>
  <c r="C10" i="5"/>
  <c r="B10" i="5"/>
  <c r="A10" i="5"/>
  <c r="D100" i="4"/>
  <c r="C100" i="4"/>
  <c r="B100" i="4"/>
  <c r="A100" i="4"/>
  <c r="D99" i="4"/>
  <c r="C99" i="4"/>
  <c r="B99" i="4"/>
  <c r="A99" i="4"/>
  <c r="D98" i="4"/>
  <c r="C98" i="4"/>
  <c r="B98" i="4"/>
  <c r="A98" i="4"/>
  <c r="D97" i="4"/>
  <c r="C97" i="4"/>
  <c r="B97" i="4"/>
  <c r="A97" i="4"/>
  <c r="D96" i="4"/>
  <c r="C96" i="4"/>
  <c r="B96" i="4"/>
  <c r="A96" i="4"/>
  <c r="D95" i="4"/>
  <c r="C95" i="4"/>
  <c r="B95" i="4"/>
  <c r="A95" i="4"/>
  <c r="D94" i="4"/>
  <c r="C94" i="4"/>
  <c r="B94" i="4"/>
  <c r="A94" i="4"/>
  <c r="D93" i="4"/>
  <c r="C93" i="4"/>
  <c r="B93" i="4"/>
  <c r="A93" i="4"/>
  <c r="D92" i="4"/>
  <c r="C92" i="4"/>
  <c r="B92" i="4"/>
  <c r="A92" i="4"/>
  <c r="D91" i="4"/>
  <c r="C91" i="4"/>
  <c r="B91" i="4"/>
  <c r="A91" i="4"/>
  <c r="D90" i="4"/>
  <c r="C90" i="4"/>
  <c r="B90" i="4"/>
  <c r="A90" i="4"/>
  <c r="D89" i="4"/>
  <c r="C89" i="4"/>
  <c r="B89" i="4"/>
  <c r="A89" i="4"/>
  <c r="D88" i="4"/>
  <c r="C88" i="4"/>
  <c r="B88" i="4"/>
  <c r="A88" i="4"/>
  <c r="D87" i="4"/>
  <c r="C87" i="4"/>
  <c r="B87" i="4"/>
  <c r="A87" i="4"/>
  <c r="D86" i="4"/>
  <c r="C86" i="4"/>
  <c r="B86" i="4"/>
  <c r="A86" i="4"/>
  <c r="D85" i="4"/>
  <c r="C85" i="4"/>
  <c r="B85" i="4"/>
  <c r="A85" i="4"/>
  <c r="D84" i="4"/>
  <c r="C84" i="4"/>
  <c r="B84" i="4"/>
  <c r="A84" i="4"/>
  <c r="D83" i="4"/>
  <c r="C83" i="4"/>
  <c r="B83" i="4"/>
  <c r="A83" i="4"/>
  <c r="D82" i="4"/>
  <c r="C82" i="4"/>
  <c r="B82" i="4"/>
  <c r="A82" i="4"/>
  <c r="D81" i="4"/>
  <c r="C81" i="4"/>
  <c r="B81" i="4"/>
  <c r="A81" i="4"/>
  <c r="D80" i="4"/>
  <c r="C80" i="4"/>
  <c r="B80" i="4"/>
  <c r="A80" i="4"/>
  <c r="D79" i="4"/>
  <c r="C79" i="4"/>
  <c r="B79" i="4"/>
  <c r="A79" i="4"/>
  <c r="D78" i="4"/>
  <c r="C78" i="4"/>
  <c r="B78" i="4"/>
  <c r="A78" i="4"/>
  <c r="D77" i="4"/>
  <c r="C77" i="4"/>
  <c r="B77" i="4"/>
  <c r="A77" i="4"/>
  <c r="D76" i="4"/>
  <c r="C76" i="4"/>
  <c r="B76" i="4"/>
  <c r="A76" i="4"/>
  <c r="D75" i="4"/>
  <c r="C75" i="4"/>
  <c r="B75" i="4"/>
  <c r="A75" i="4"/>
  <c r="D74" i="4"/>
  <c r="C74" i="4"/>
  <c r="B74" i="4"/>
  <c r="A74" i="4"/>
  <c r="D73" i="4"/>
  <c r="C73" i="4"/>
  <c r="B73" i="4"/>
  <c r="A73" i="4"/>
  <c r="D72" i="4"/>
  <c r="C72" i="4"/>
  <c r="B72" i="4"/>
  <c r="A72" i="4"/>
  <c r="D71" i="4"/>
  <c r="C71" i="4"/>
  <c r="B71" i="4"/>
  <c r="A71" i="4"/>
  <c r="D70" i="4"/>
  <c r="C70" i="4"/>
  <c r="B70" i="4"/>
  <c r="A70" i="4"/>
  <c r="D69" i="4"/>
  <c r="C69" i="4"/>
  <c r="B69" i="4"/>
  <c r="A69" i="4"/>
  <c r="D68" i="4"/>
  <c r="C68" i="4"/>
  <c r="B68" i="4"/>
  <c r="A68" i="4"/>
  <c r="D67" i="4"/>
  <c r="C67" i="4"/>
  <c r="B67" i="4"/>
  <c r="A67" i="4"/>
  <c r="D66" i="4"/>
  <c r="C66" i="4"/>
  <c r="B66" i="4"/>
  <c r="A66" i="4"/>
  <c r="D65" i="4"/>
  <c r="C65" i="4"/>
  <c r="B65" i="4"/>
  <c r="A65" i="4"/>
  <c r="D64" i="4"/>
  <c r="C64" i="4"/>
  <c r="B64" i="4"/>
  <c r="A64" i="4"/>
  <c r="D63" i="4"/>
  <c r="C63" i="4"/>
  <c r="B63" i="4"/>
  <c r="A63" i="4"/>
  <c r="D62" i="4"/>
  <c r="C62" i="4"/>
  <c r="B62" i="4"/>
  <c r="A62" i="4"/>
  <c r="D61" i="4"/>
  <c r="C61" i="4"/>
  <c r="B61" i="4"/>
  <c r="A61" i="4"/>
  <c r="D60" i="4"/>
  <c r="C60" i="4"/>
  <c r="B60" i="4"/>
  <c r="A60" i="4"/>
  <c r="D59" i="4"/>
  <c r="C59" i="4"/>
  <c r="B59" i="4"/>
  <c r="A59" i="4"/>
  <c r="D58" i="4"/>
  <c r="C58" i="4"/>
  <c r="B58" i="4"/>
  <c r="A58" i="4"/>
  <c r="D57" i="4"/>
  <c r="C57" i="4"/>
  <c r="B57" i="4"/>
  <c r="A57" i="4"/>
  <c r="D56" i="4"/>
  <c r="C56" i="4"/>
  <c r="B56" i="4"/>
  <c r="A56" i="4"/>
  <c r="D55" i="4"/>
  <c r="C55" i="4"/>
  <c r="B55" i="4"/>
  <c r="A55" i="4"/>
  <c r="D54" i="4"/>
  <c r="C54" i="4"/>
  <c r="B54" i="4"/>
  <c r="A54" i="4"/>
  <c r="D53" i="4"/>
  <c r="C53" i="4"/>
  <c r="B53" i="4"/>
  <c r="A53" i="4"/>
  <c r="D52" i="4"/>
  <c r="C52" i="4"/>
  <c r="B52" i="4"/>
  <c r="A52" i="4"/>
  <c r="D51" i="4"/>
  <c r="C51" i="4"/>
  <c r="B51" i="4"/>
  <c r="A51" i="4"/>
  <c r="D50" i="4"/>
  <c r="C50" i="4"/>
  <c r="B50" i="4"/>
  <c r="A50" i="4"/>
  <c r="D49" i="4"/>
  <c r="C49" i="4"/>
  <c r="B49" i="4"/>
  <c r="A49" i="4"/>
  <c r="D48" i="4"/>
  <c r="C48" i="4"/>
  <c r="B48" i="4"/>
  <c r="A48" i="4"/>
  <c r="D47" i="4"/>
  <c r="C47" i="4"/>
  <c r="B47" i="4"/>
  <c r="A47" i="4"/>
  <c r="D46" i="4"/>
  <c r="C46" i="4"/>
  <c r="B46" i="4"/>
  <c r="A46" i="4"/>
  <c r="D45" i="4"/>
  <c r="C45" i="4"/>
  <c r="B45" i="4"/>
  <c r="A45" i="4"/>
  <c r="D44" i="4"/>
  <c r="C44" i="4"/>
  <c r="B44" i="4"/>
  <c r="A44" i="4"/>
  <c r="D43" i="4"/>
  <c r="C43" i="4"/>
  <c r="B43" i="4"/>
  <c r="A43" i="4"/>
  <c r="D42" i="4"/>
  <c r="C42" i="4"/>
  <c r="B42" i="4"/>
  <c r="A42" i="4"/>
  <c r="D41" i="4"/>
  <c r="C41" i="4"/>
  <c r="B41" i="4"/>
  <c r="A41" i="4"/>
  <c r="D40" i="4"/>
  <c r="C40" i="4"/>
  <c r="B40" i="4"/>
  <c r="A40" i="4"/>
  <c r="D39" i="4"/>
  <c r="C39" i="4"/>
  <c r="B39" i="4"/>
  <c r="A39" i="4"/>
  <c r="D38" i="4"/>
  <c r="C38" i="4"/>
  <c r="B38" i="4"/>
  <c r="A38" i="4"/>
  <c r="D37" i="4"/>
  <c r="C37" i="4"/>
  <c r="B37" i="4"/>
  <c r="A37" i="4"/>
  <c r="D36" i="4"/>
  <c r="C36" i="4"/>
  <c r="B36" i="4"/>
  <c r="A36" i="4"/>
  <c r="D35" i="4"/>
  <c r="C35" i="4"/>
  <c r="B35" i="4"/>
  <c r="A35" i="4"/>
  <c r="D34" i="4"/>
  <c r="C34" i="4"/>
  <c r="B34" i="4"/>
  <c r="A34" i="4"/>
  <c r="D33" i="4"/>
  <c r="C33" i="4"/>
  <c r="B33" i="4"/>
  <c r="A33" i="4"/>
  <c r="D32" i="4"/>
  <c r="C32" i="4"/>
  <c r="B32" i="4"/>
  <c r="A32" i="4"/>
  <c r="D31" i="4"/>
  <c r="C31" i="4"/>
  <c r="B31" i="4"/>
  <c r="A31" i="4"/>
  <c r="D30" i="4"/>
  <c r="C30" i="4"/>
  <c r="B30" i="4"/>
  <c r="A30" i="4"/>
  <c r="D29" i="4"/>
  <c r="C29" i="4"/>
  <c r="B29" i="4"/>
  <c r="A29" i="4"/>
  <c r="D28" i="4"/>
  <c r="C28" i="4"/>
  <c r="B28" i="4"/>
  <c r="A28" i="4"/>
  <c r="D27" i="4"/>
  <c r="C27" i="4"/>
  <c r="B27" i="4"/>
  <c r="A27" i="4"/>
  <c r="D26" i="4"/>
  <c r="C26" i="4"/>
  <c r="B26" i="4"/>
  <c r="A26" i="4"/>
  <c r="D25" i="4"/>
  <c r="C25" i="4"/>
  <c r="B25" i="4"/>
  <c r="A25" i="4"/>
  <c r="D24" i="4"/>
  <c r="C24" i="4"/>
  <c r="B24" i="4"/>
  <c r="A24" i="4"/>
  <c r="D23" i="4"/>
  <c r="C23" i="4"/>
  <c r="B23" i="4"/>
  <c r="A23" i="4"/>
  <c r="D22" i="4"/>
  <c r="C22" i="4"/>
  <c r="B22" i="4"/>
  <c r="A22" i="4"/>
  <c r="D21" i="4"/>
  <c r="C21" i="4"/>
  <c r="B21" i="4"/>
  <c r="A21" i="4"/>
  <c r="D20" i="4"/>
  <c r="C20" i="4"/>
  <c r="B20" i="4"/>
  <c r="A20" i="4"/>
  <c r="D19" i="4"/>
  <c r="C19" i="4"/>
  <c r="B19" i="4"/>
  <c r="A19" i="4"/>
  <c r="D18" i="4"/>
  <c r="C18" i="4"/>
  <c r="B18" i="4"/>
  <c r="A18" i="4"/>
  <c r="D17" i="4"/>
  <c r="C17" i="4"/>
  <c r="B17" i="4"/>
  <c r="A17" i="4"/>
  <c r="D16" i="4"/>
  <c r="C16" i="4"/>
  <c r="B16" i="4"/>
  <c r="A16" i="4"/>
  <c r="D15" i="4"/>
  <c r="C15" i="4"/>
  <c r="B15" i="4"/>
  <c r="A15" i="4"/>
  <c r="D14" i="4"/>
  <c r="C14" i="4"/>
  <c r="B14" i="4"/>
  <c r="A14" i="4"/>
  <c r="D13" i="4"/>
  <c r="C13" i="4"/>
  <c r="B13" i="4"/>
  <c r="A13" i="4"/>
  <c r="D12" i="4"/>
  <c r="C12" i="4"/>
  <c r="B12" i="4"/>
  <c r="A12" i="4"/>
  <c r="D11" i="4"/>
  <c r="C11" i="4"/>
  <c r="B11" i="4"/>
  <c r="A11" i="4"/>
  <c r="D10" i="4"/>
  <c r="C10" i="4"/>
  <c r="B10" i="4"/>
  <c r="A10" i="4"/>
  <c r="A10" i="3"/>
  <c r="C37" i="3"/>
  <c r="B37" i="3"/>
  <c r="A37" i="3"/>
  <c r="C36" i="3"/>
  <c r="B36" i="3"/>
  <c r="A36" i="3"/>
  <c r="C35" i="3"/>
  <c r="B35" i="3"/>
  <c r="A35" i="3"/>
  <c r="C34" i="3"/>
  <c r="B34" i="3"/>
  <c r="A34" i="3"/>
  <c r="C33" i="3"/>
  <c r="B33" i="3"/>
  <c r="A33" i="3"/>
  <c r="C32" i="3"/>
  <c r="B32" i="3"/>
  <c r="A32" i="3"/>
  <c r="C31" i="3"/>
  <c r="B31" i="3"/>
  <c r="A31" i="3"/>
  <c r="C30" i="3"/>
  <c r="B30" i="3"/>
  <c r="A30" i="3"/>
  <c r="C29" i="3"/>
  <c r="B29" i="3"/>
  <c r="A29" i="3"/>
  <c r="C28" i="3"/>
  <c r="B28" i="3"/>
  <c r="A28" i="3"/>
  <c r="C27" i="3"/>
  <c r="B27" i="3"/>
  <c r="A27" i="3"/>
  <c r="C26" i="3"/>
  <c r="B26" i="3"/>
  <c r="A26" i="3"/>
  <c r="C25" i="3"/>
  <c r="B25" i="3"/>
  <c r="A25" i="3"/>
  <c r="C24" i="3"/>
  <c r="B24" i="3"/>
  <c r="A24" i="3"/>
  <c r="C23" i="3"/>
  <c r="B23" i="3"/>
  <c r="A23" i="3"/>
  <c r="C22" i="3"/>
  <c r="B22" i="3"/>
  <c r="A22" i="3"/>
  <c r="C21" i="3"/>
  <c r="B21" i="3"/>
  <c r="A21" i="3"/>
  <c r="C20" i="3"/>
  <c r="B20" i="3"/>
  <c r="A20" i="3"/>
  <c r="C19" i="3"/>
  <c r="B19" i="3"/>
  <c r="A19" i="3"/>
  <c r="C18" i="3"/>
  <c r="B18" i="3"/>
  <c r="A18" i="3"/>
  <c r="C17" i="3"/>
  <c r="B17" i="3"/>
  <c r="A17" i="3"/>
  <c r="C16" i="3"/>
  <c r="B16" i="3"/>
  <c r="A16" i="3"/>
  <c r="C15" i="3"/>
  <c r="B15" i="3"/>
  <c r="A15" i="3"/>
  <c r="C14" i="3"/>
  <c r="B14" i="3"/>
  <c r="A14" i="3"/>
  <c r="C13" i="3"/>
  <c r="B13" i="3"/>
  <c r="A13" i="3"/>
  <c r="C12" i="3"/>
  <c r="B12" i="3"/>
  <c r="A12" i="3"/>
  <c r="C11" i="3"/>
  <c r="B11" i="3"/>
  <c r="A11" i="3"/>
  <c r="C10" i="3"/>
  <c r="B10" i="3"/>
  <c r="D10" i="3"/>
  <c r="A1" i="5"/>
  <c r="A1" i="4"/>
  <c r="A1" i="3"/>
  <c r="B2" i="5"/>
  <c r="B2" i="4"/>
  <c r="B2" i="3"/>
  <c r="B2" i="2"/>
  <c r="B3" i="5"/>
  <c r="B3" i="4"/>
  <c r="B3" i="3"/>
  <c r="B3" i="2"/>
  <c r="D7" i="5"/>
  <c r="D7" i="4"/>
  <c r="D7" i="3"/>
  <c r="D7" i="2"/>
</calcChain>
</file>

<file path=xl/sharedStrings.xml><?xml version="1.0" encoding="utf-8"?>
<sst xmlns="http://schemas.openxmlformats.org/spreadsheetml/2006/main" count="379" uniqueCount="116">
  <si>
    <t>Course:</t>
  </si>
  <si>
    <t>Instructor:</t>
  </si>
  <si>
    <t>Term:</t>
  </si>
  <si>
    <t xml:space="preserve">   </t>
  </si>
  <si>
    <t>No.</t>
  </si>
  <si>
    <t>Learning Outcome</t>
  </si>
  <si>
    <t>Graduate Attribute</t>
  </si>
  <si>
    <t>Instruction Level</t>
  </si>
  <si>
    <t>Integrated Course Design Tool - Learning Outcomes</t>
  </si>
  <si>
    <t>Integrated Course Design Tool - Grade Collection Sheet</t>
  </si>
  <si>
    <t>Last</t>
  </si>
  <si>
    <t>First</t>
  </si>
  <si>
    <t>U Calgary</t>
  </si>
  <si>
    <t>Total</t>
  </si>
  <si>
    <t>Name</t>
  </si>
  <si>
    <t>ID</t>
  </si>
  <si>
    <t>Component:</t>
  </si>
  <si>
    <t>Graduate Attribute ----&gt;</t>
  </si>
  <si>
    <t>Points ----&gt;</t>
  </si>
  <si>
    <t>One</t>
  </si>
  <si>
    <t>Two</t>
  </si>
  <si>
    <t>Three</t>
  </si>
  <si>
    <t>-</t>
  </si>
  <si>
    <t>Last_1</t>
  </si>
  <si>
    <t>First_1</t>
  </si>
  <si>
    <t>Last_2</t>
  </si>
  <si>
    <t>First_2</t>
  </si>
  <si>
    <t>Last_3</t>
  </si>
  <si>
    <t>First_3</t>
  </si>
  <si>
    <t>Last_4</t>
  </si>
  <si>
    <t>First_4</t>
  </si>
  <si>
    <t>Last_5</t>
  </si>
  <si>
    <t>First_5</t>
  </si>
  <si>
    <t>Last_6</t>
  </si>
  <si>
    <t>First_6</t>
  </si>
  <si>
    <t>Last_7</t>
  </si>
  <si>
    <t>First_7</t>
  </si>
  <si>
    <t>Last_8</t>
  </si>
  <si>
    <t>First_8</t>
  </si>
  <si>
    <t>Last_9</t>
  </si>
  <si>
    <t>First_9</t>
  </si>
  <si>
    <t>Last_10</t>
  </si>
  <si>
    <t>First_10</t>
  </si>
  <si>
    <t>Last_11</t>
  </si>
  <si>
    <t>First_11</t>
  </si>
  <si>
    <t>Last_12</t>
  </si>
  <si>
    <t>First_12</t>
  </si>
  <si>
    <t>Last_13</t>
  </si>
  <si>
    <t>First_13</t>
  </si>
  <si>
    <t>Last_14</t>
  </si>
  <si>
    <t>First_14</t>
  </si>
  <si>
    <t>Last_15</t>
  </si>
  <si>
    <t>First_15</t>
  </si>
  <si>
    <t>Last_16</t>
  </si>
  <si>
    <t>First_16</t>
  </si>
  <si>
    <t>Last_17</t>
  </si>
  <si>
    <t>First_17</t>
  </si>
  <si>
    <t>Last_18</t>
  </si>
  <si>
    <t>First_18</t>
  </si>
  <si>
    <t>Last_19</t>
  </si>
  <si>
    <t>First_19</t>
  </si>
  <si>
    <t>Last_20</t>
  </si>
  <si>
    <t>First_20</t>
  </si>
  <si>
    <t>Last_21</t>
  </si>
  <si>
    <t>First_21</t>
  </si>
  <si>
    <t>Last_22</t>
  </si>
  <si>
    <t>First_22</t>
  </si>
  <si>
    <t>Last_23</t>
  </si>
  <si>
    <t>First_23</t>
  </si>
  <si>
    <t>Last_24</t>
  </si>
  <si>
    <t>First_24</t>
  </si>
  <si>
    <t>Last_25</t>
  </si>
  <si>
    <t>First_25</t>
  </si>
  <si>
    <t>Last_26</t>
  </si>
  <si>
    <t>First_26</t>
  </si>
  <si>
    <t>Last_27</t>
  </si>
  <si>
    <t>First_27</t>
  </si>
  <si>
    <t>Last_28</t>
  </si>
  <si>
    <t>First_28</t>
  </si>
  <si>
    <t>Columns:</t>
  </si>
  <si>
    <t>Rows:</t>
  </si>
  <si>
    <t>Integrated Course Design Tool - Graduate Attributes Summary</t>
  </si>
  <si>
    <t>Performance Levels</t>
  </si>
  <si>
    <t>A</t>
  </si>
  <si>
    <t>B</t>
  </si>
  <si>
    <t>C</t>
  </si>
  <si>
    <t>D</t>
  </si>
  <si>
    <t>F</t>
  </si>
  <si>
    <t>Assessment Tools</t>
  </si>
  <si>
    <t>Performance Descriptors</t>
  </si>
  <si>
    <t>3.1.1</t>
  </si>
  <si>
    <t>3.1.2</t>
  </si>
  <si>
    <t>3.1.3</t>
  </si>
  <si>
    <t>3.1.4</t>
  </si>
  <si>
    <t>3.1.5</t>
  </si>
  <si>
    <t>3.1.6</t>
  </si>
  <si>
    <t>3.1.7</t>
  </si>
  <si>
    <t>3.1.8</t>
  </si>
  <si>
    <t>3.1.9</t>
  </si>
  <si>
    <t>3.1.10</t>
  </si>
  <si>
    <t>3.1.11</t>
  </si>
  <si>
    <t>3.1.12</t>
  </si>
  <si>
    <t>3.1.1 A knowledge base for Engineering</t>
  </si>
  <si>
    <t>3.1.2 Problem Analysis</t>
  </si>
  <si>
    <t>3.1.3 Investigation</t>
  </si>
  <si>
    <t>3.1.4 Design</t>
  </si>
  <si>
    <t>3.1.5 Use of engineering tools</t>
  </si>
  <si>
    <t>3.1.6 Individual and team work</t>
  </si>
  <si>
    <t>3.1.7 Communication skills</t>
  </si>
  <si>
    <t>3.1.8 Professionalism</t>
  </si>
  <si>
    <t>3.1.9 Impact of engineering on society and the environment</t>
  </si>
  <si>
    <t>3.1.10 Ethics and equity</t>
  </si>
  <si>
    <t>3.1.11 Economics and project management</t>
  </si>
  <si>
    <t>3.1.12 Life-long learning</t>
  </si>
  <si>
    <t>Essay</t>
  </si>
  <si>
    <t>/20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</si>
</sst>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"/>
    <numFmt numFmtId="165" formatCode="0.0%"/>
  </numFmts>
  <fonts count="7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Lucida Grande"/>
    </font>
    <font>
      <sz val="12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56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9" fontId="1" fillId="0" borderId="0" applyFon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19">
    <xf numFmtId="0" fontId="0" fillId="0" borderId="0" xfId="0"/>
    <xf numFmtId="0" fontId="2" fillId="0" borderId="0" xfId="0" applyFont="1"/>
    <xf numFmtId="0" fontId="0" fillId="0" borderId="0" xfId="0" quotePrefix="1"/>
    <xf numFmtId="0" fontId="0" fillId="0" borderId="0" xfId="0" applyAlignment="1">
      <alignment vertical="top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0" applyFont="1" applyAlignment="1">
      <alignment horizontal="center"/>
    </xf>
    <xf numFmtId="9" fontId="2" fillId="0" borderId="0" xfId="0" applyNumberFormat="1" applyFont="1" applyAlignment="1">
      <alignment horizontal="center"/>
    </xf>
    <xf numFmtId="164" fontId="2" fillId="0" borderId="0" xfId="0" applyNumberFormat="1" applyFont="1" applyAlignment="1">
      <alignment horizontal="center"/>
    </xf>
    <xf numFmtId="0" fontId="0" fillId="0" borderId="0" xfId="0" applyFont="1" applyAlignment="1">
      <alignment horizontal="left"/>
    </xf>
    <xf numFmtId="164" fontId="0" fillId="0" borderId="0" xfId="0" applyNumberFormat="1" applyFont="1" applyAlignment="1">
      <alignment horizontal="left"/>
    </xf>
    <xf numFmtId="0" fontId="2" fillId="0" borderId="0" xfId="0" applyFont="1" applyAlignment="1">
      <alignment horizontal="right"/>
    </xf>
    <xf numFmtId="0" fontId="0" fillId="0" borderId="0" xfId="0" applyAlignment="1">
      <alignment horizontal="left"/>
    </xf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9" fontId="0" fillId="0" borderId="0" xfId="101" applyFont="1" applyAlignment="1">
      <alignment horizontal="center"/>
    </xf>
    <xf numFmtId="165" fontId="0" fillId="0" borderId="0" xfId="101" applyNumberFormat="1" applyFont="1" applyAlignment="1">
      <alignment horizontal="center"/>
    </xf>
    <xf numFmtId="0" fontId="0" fillId="0" borderId="0" xfId="0" applyNumberFormat="1" applyAlignment="1">
      <alignment horizontal="center"/>
    </xf>
  </cellXfs>
  <cellStyles count="156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3" builtinId="9" hidden="1"/>
    <cellStyle name="Followed Hyperlink" xfId="105" builtinId="9" hidden="1"/>
    <cellStyle name="Followed Hyperlink" xfId="107" builtinId="9" hidden="1"/>
    <cellStyle name="Followed Hyperlink" xfId="109" builtinId="9" hidden="1"/>
    <cellStyle name="Followed Hyperlink" xfId="111" builtinId="9" hidden="1"/>
    <cellStyle name="Followed Hyperlink" xfId="113" builtinId="9" hidden="1"/>
    <cellStyle name="Followed Hyperlink" xfId="115" builtinId="9" hidden="1"/>
    <cellStyle name="Followed Hyperlink" xfId="117" builtinId="9" hidden="1"/>
    <cellStyle name="Followed Hyperlink" xfId="119" builtinId="9" hidden="1"/>
    <cellStyle name="Followed Hyperlink" xfId="121" builtinId="9" hidden="1"/>
    <cellStyle name="Followed Hyperlink" xfId="123" builtinId="9" hidden="1"/>
    <cellStyle name="Followed Hyperlink" xfId="125" builtinId="9" hidden="1"/>
    <cellStyle name="Followed Hyperlink" xfId="127" builtinId="9" hidden="1"/>
    <cellStyle name="Followed Hyperlink" xfId="129" builtinId="9" hidden="1"/>
    <cellStyle name="Followed Hyperlink" xfId="131" builtinId="9" hidden="1"/>
    <cellStyle name="Followed Hyperlink" xfId="133" builtinId="9" hidden="1"/>
    <cellStyle name="Followed Hyperlink" xfId="135" builtinId="9" hidden="1"/>
    <cellStyle name="Followed Hyperlink" xfId="137" builtinId="9" hidden="1"/>
    <cellStyle name="Followed Hyperlink" xfId="139" builtinId="9" hidden="1"/>
    <cellStyle name="Followed Hyperlink" xfId="141" builtinId="9" hidden="1"/>
    <cellStyle name="Followed Hyperlink" xfId="143" builtinId="9" hidden="1"/>
    <cellStyle name="Followed Hyperlink" xfId="145" builtinId="9" hidden="1"/>
    <cellStyle name="Followed Hyperlink" xfId="147" builtinId="9" hidden="1"/>
    <cellStyle name="Followed Hyperlink" xfId="149" builtinId="9" hidden="1"/>
    <cellStyle name="Followed Hyperlink" xfId="151" builtinId="9" hidden="1"/>
    <cellStyle name="Followed Hyperlink" xfId="153" builtinId="9" hidden="1"/>
    <cellStyle name="Followed Hyperlink" xfId="155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2" builtinId="8" hidden="1"/>
    <cellStyle name="Hyperlink" xfId="104" builtinId="8" hidden="1"/>
    <cellStyle name="Hyperlink" xfId="106" builtinId="8" hidden="1"/>
    <cellStyle name="Hyperlink" xfId="108" builtinId="8" hidden="1"/>
    <cellStyle name="Hyperlink" xfId="110" builtinId="8" hidden="1"/>
    <cellStyle name="Hyperlink" xfId="112" builtinId="8" hidden="1"/>
    <cellStyle name="Hyperlink" xfId="114" builtinId="8" hidden="1"/>
    <cellStyle name="Hyperlink" xfId="116" builtinId="8" hidden="1"/>
    <cellStyle name="Hyperlink" xfId="118" builtinId="8" hidden="1"/>
    <cellStyle name="Hyperlink" xfId="120" builtinId="8" hidden="1"/>
    <cellStyle name="Hyperlink" xfId="122" builtinId="8" hidden="1"/>
    <cellStyle name="Hyperlink" xfId="124" builtinId="8" hidden="1"/>
    <cellStyle name="Hyperlink" xfId="126" builtinId="8" hidden="1"/>
    <cellStyle name="Hyperlink" xfId="128" builtinId="8" hidden="1"/>
    <cellStyle name="Hyperlink" xfId="130" builtinId="8" hidden="1"/>
    <cellStyle name="Hyperlink" xfId="132" builtinId="8" hidden="1"/>
    <cellStyle name="Hyperlink" xfId="134" builtinId="8" hidden="1"/>
    <cellStyle name="Hyperlink" xfId="136" builtinId="8" hidden="1"/>
    <cellStyle name="Hyperlink" xfId="138" builtinId="8" hidden="1"/>
    <cellStyle name="Hyperlink" xfId="140" builtinId="8" hidden="1"/>
    <cellStyle name="Hyperlink" xfId="142" builtinId="8" hidden="1"/>
    <cellStyle name="Hyperlink" xfId="144" builtinId="8" hidden="1"/>
    <cellStyle name="Hyperlink" xfId="146" builtinId="8" hidden="1"/>
    <cellStyle name="Hyperlink" xfId="148" builtinId="8" hidden="1"/>
    <cellStyle name="Hyperlink" xfId="150" builtinId="8" hidden="1"/>
    <cellStyle name="Hyperlink" xfId="152" builtinId="8" hidden="1"/>
    <cellStyle name="Hyperlink" xfId="154" builtinId="8" hidden="1"/>
    <cellStyle name="Normal" xfId="0" builtinId="0"/>
    <cellStyle name="Percent" xfId="101" builtinId="5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2514600</xdr:colOff>
          <xdr:row>1</xdr:row>
          <xdr:rowOff>9525</xdr:rowOff>
        </xdr:from>
        <xdr:to>
          <xdr:col>2</xdr:col>
          <xdr:colOff>3295650</xdr:colOff>
          <xdr:row>2</xdr:row>
          <xdr:rowOff>180975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1</xdr:row>
          <xdr:rowOff>38100</xdr:rowOff>
        </xdr:from>
        <xdr:to>
          <xdr:col>3</xdr:col>
          <xdr:colOff>1123950</xdr:colOff>
          <xdr:row>2</xdr:row>
          <xdr:rowOff>180975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1</xdr:row>
          <xdr:rowOff>9525</xdr:rowOff>
        </xdr:from>
        <xdr:to>
          <xdr:col>4</xdr:col>
          <xdr:colOff>809625</xdr:colOff>
          <xdr:row>2</xdr:row>
          <xdr:rowOff>180975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</a:rPr>
                <a:t>Delete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9525</xdr:rowOff>
        </xdr:from>
        <xdr:to>
          <xdr:col>6</xdr:col>
          <xdr:colOff>0</xdr:colOff>
          <xdr:row>3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</a:rPr>
                <a:t>New Grade Component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809625</xdr:colOff>
          <xdr:row>4</xdr:row>
          <xdr:rowOff>161925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</a:rPr>
                <a:t>Total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38100</xdr:rowOff>
        </xdr:from>
        <xdr:to>
          <xdr:col>6</xdr:col>
          <xdr:colOff>28575</xdr:colOff>
          <xdr:row>3</xdr:row>
          <xdr:rowOff>9525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</a:rPr>
                <a:t>New Grade Element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9525</xdr:rowOff>
        </xdr:from>
        <xdr:to>
          <xdr:col>8</xdr:col>
          <xdr:colOff>28575</xdr:colOff>
          <xdr:row>3</xdr:row>
          <xdr:rowOff>28575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</a:rPr>
                <a:t>New Grade Element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180975</xdr:rowOff>
        </xdr:from>
        <xdr:to>
          <xdr:col>8</xdr:col>
          <xdr:colOff>9525</xdr:colOff>
          <xdr:row>3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</a:rPr>
                <a:t>New Grade Element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48"/>
  <sheetViews>
    <sheetView tabSelected="1" workbookViewId="0">
      <selection activeCell="B4" sqref="B4"/>
    </sheetView>
  </sheetViews>
  <sheetFormatPr defaultColWidth="11" defaultRowHeight="15.75"/>
  <cols>
    <col min="2" max="2" width="38.375" customWidth="1"/>
    <col min="3" max="3" width="43.625" bestFit="1" customWidth="1"/>
    <col min="4" max="4" width="15" bestFit="1" customWidth="1"/>
    <col min="8" max="8" width="28" customWidth="1"/>
  </cols>
  <sheetData>
    <row r="1" spans="1:8">
      <c r="A1" s="1" t="s">
        <v>8</v>
      </c>
      <c r="H1" s="1"/>
    </row>
    <row r="2" spans="1:8">
      <c r="A2" t="s">
        <v>0</v>
      </c>
    </row>
    <row r="3" spans="1:8">
      <c r="A3" t="s">
        <v>1</v>
      </c>
    </row>
    <row r="4" spans="1:8">
      <c r="A4" t="s">
        <v>2</v>
      </c>
    </row>
    <row r="5" spans="1:8">
      <c r="A5" s="2" t="s">
        <v>3</v>
      </c>
    </row>
    <row r="6" spans="1:8">
      <c r="A6" s="6" t="s">
        <v>4</v>
      </c>
      <c r="B6" s="1" t="s">
        <v>5</v>
      </c>
      <c r="C6" s="1" t="s">
        <v>6</v>
      </c>
      <c r="D6" s="1" t="s">
        <v>7</v>
      </c>
    </row>
    <row r="7" spans="1:8" hidden="1">
      <c r="A7">
        <v>0</v>
      </c>
      <c r="E7">
        <v>0.1</v>
      </c>
    </row>
    <row r="8" spans="1:8">
      <c r="A8" s="4"/>
      <c r="B8" s="3"/>
      <c r="C8" s="5"/>
      <c r="D8" s="5"/>
    </row>
    <row r="9" spans="1:8">
      <c r="A9" s="4"/>
      <c r="B9" s="3"/>
      <c r="C9" s="5"/>
      <c r="D9" s="5"/>
    </row>
    <row r="10" spans="1:8">
      <c r="A10" s="4"/>
      <c r="B10" s="3"/>
      <c r="C10" s="5"/>
      <c r="D10" s="5"/>
    </row>
    <row r="11" spans="1:8">
      <c r="A11" s="4"/>
      <c r="B11" s="3"/>
      <c r="C11" s="5"/>
      <c r="D11" s="5"/>
    </row>
    <row r="12" spans="1:8">
      <c r="A12" s="4"/>
      <c r="B12" s="3"/>
      <c r="C12" s="5"/>
      <c r="D12" s="5"/>
    </row>
    <row r="13" spans="1:8">
      <c r="A13" s="4"/>
      <c r="B13" s="3"/>
      <c r="C13" s="5"/>
      <c r="D13" s="5"/>
    </row>
    <row r="14" spans="1:8">
      <c r="A14" s="4"/>
      <c r="B14" s="3"/>
      <c r="C14" s="5"/>
      <c r="D14" s="5"/>
    </row>
    <row r="15" spans="1:8">
      <c r="A15" s="4"/>
      <c r="B15" s="3"/>
      <c r="C15" s="5"/>
      <c r="D15" s="5"/>
    </row>
    <row r="16" spans="1:8">
      <c r="A16" s="4"/>
      <c r="B16" s="3"/>
      <c r="C16" s="5"/>
      <c r="D16" s="5"/>
    </row>
    <row r="17" spans="1:4">
      <c r="A17" s="4"/>
      <c r="B17" s="3"/>
      <c r="C17" s="5"/>
      <c r="D17" s="5"/>
    </row>
    <row r="18" spans="1:4">
      <c r="A18" s="4"/>
      <c r="B18" s="3"/>
      <c r="C18" s="5"/>
      <c r="D18" s="5"/>
    </row>
    <row r="19" spans="1:4">
      <c r="A19" s="4"/>
      <c r="B19" s="3"/>
      <c r="C19" s="5"/>
      <c r="D19" s="5"/>
    </row>
    <row r="20" spans="1:4">
      <c r="A20" s="4"/>
      <c r="B20" s="3"/>
      <c r="C20" s="5"/>
      <c r="D20" s="5"/>
    </row>
    <row r="21" spans="1:4">
      <c r="A21" s="4"/>
      <c r="B21" s="3"/>
      <c r="C21" s="5"/>
      <c r="D21" s="5"/>
    </row>
    <row r="22" spans="1:4">
      <c r="A22" s="4"/>
      <c r="B22" s="3"/>
      <c r="C22" s="5"/>
      <c r="D22" s="5"/>
    </row>
    <row r="23" spans="1:4">
      <c r="A23" s="4"/>
      <c r="B23" s="3"/>
      <c r="C23" s="5"/>
      <c r="D23" s="5"/>
    </row>
    <row r="24" spans="1:4">
      <c r="A24" s="4"/>
      <c r="B24" s="3"/>
      <c r="C24" s="5"/>
      <c r="D24" s="5"/>
    </row>
    <row r="25" spans="1:4">
      <c r="A25" s="4"/>
      <c r="B25" s="3"/>
      <c r="C25" s="5"/>
      <c r="D25" s="5"/>
    </row>
    <row r="26" spans="1:4">
      <c r="A26" s="4"/>
      <c r="B26" s="3"/>
      <c r="C26" s="5"/>
      <c r="D26" s="5"/>
    </row>
    <row r="27" spans="1:4">
      <c r="A27" s="4"/>
      <c r="B27" s="3"/>
      <c r="C27" s="5"/>
      <c r="D27" s="5"/>
    </row>
    <row r="28" spans="1:4">
      <c r="A28" s="4"/>
      <c r="B28" s="3"/>
      <c r="C28" s="5"/>
      <c r="D28" s="5"/>
    </row>
    <row r="29" spans="1:4">
      <c r="A29" s="4"/>
      <c r="B29" s="3"/>
      <c r="C29" s="5"/>
      <c r="D29" s="5"/>
    </row>
    <row r="30" spans="1:4">
      <c r="A30" s="4"/>
      <c r="B30" s="3"/>
      <c r="C30" s="5"/>
      <c r="D30" s="5"/>
    </row>
    <row r="31" spans="1:4">
      <c r="A31" s="4"/>
      <c r="B31" s="3"/>
      <c r="C31" s="5"/>
      <c r="D31" s="5"/>
    </row>
    <row r="32" spans="1:4">
      <c r="A32" s="4"/>
      <c r="B32" s="3"/>
      <c r="C32" s="5"/>
      <c r="D32" s="5"/>
    </row>
    <row r="33" spans="1:4">
      <c r="A33" s="4"/>
      <c r="B33" s="3"/>
      <c r="C33" s="5"/>
      <c r="D33" s="5"/>
    </row>
    <row r="34" spans="1:4">
      <c r="A34" s="4"/>
      <c r="B34" s="3"/>
      <c r="C34" s="5"/>
      <c r="D34" s="5"/>
    </row>
    <row r="35" spans="1:4">
      <c r="A35" s="4"/>
      <c r="B35" s="3"/>
      <c r="C35" s="5"/>
      <c r="D35" s="5"/>
    </row>
    <row r="36" spans="1:4">
      <c r="A36" s="4"/>
      <c r="B36" s="3"/>
      <c r="C36" s="5"/>
      <c r="D36" s="5"/>
    </row>
    <row r="37" spans="1:4">
      <c r="A37" s="4"/>
      <c r="B37" s="3"/>
      <c r="C37" s="5"/>
      <c r="D37" s="5"/>
    </row>
    <row r="38" spans="1:4">
      <c r="A38" s="4"/>
      <c r="B38" s="3"/>
      <c r="C38" s="5"/>
      <c r="D38" s="5"/>
    </row>
    <row r="39" spans="1:4">
      <c r="A39" s="4"/>
      <c r="B39" s="3"/>
      <c r="C39" s="5"/>
      <c r="D39" s="5"/>
    </row>
    <row r="40" spans="1:4">
      <c r="A40" s="4"/>
      <c r="B40" s="3"/>
      <c r="C40" s="5"/>
      <c r="D40" s="5"/>
    </row>
    <row r="41" spans="1:4">
      <c r="A41" s="4"/>
      <c r="B41" s="3"/>
      <c r="C41" s="5"/>
      <c r="D41" s="5"/>
    </row>
    <row r="42" spans="1:4">
      <c r="A42" s="4"/>
      <c r="B42" s="3"/>
      <c r="C42" s="5"/>
      <c r="D42" s="5"/>
    </row>
    <row r="43" spans="1:4">
      <c r="A43" s="4"/>
      <c r="B43" s="3"/>
      <c r="C43" s="5"/>
      <c r="D43" s="5"/>
    </row>
    <row r="44" spans="1:4">
      <c r="A44" s="4"/>
      <c r="B44" s="3"/>
      <c r="C44" s="5"/>
      <c r="D44" s="5"/>
    </row>
    <row r="45" spans="1:4">
      <c r="A45" s="4"/>
      <c r="B45" s="3"/>
      <c r="C45" s="5"/>
      <c r="D45" s="5"/>
    </row>
    <row r="46" spans="1:4">
      <c r="A46" s="4"/>
      <c r="B46" s="3"/>
      <c r="C46" s="5"/>
      <c r="D46" s="5"/>
    </row>
    <row r="47" spans="1:4">
      <c r="A47" s="4"/>
      <c r="B47" s="3"/>
      <c r="C47" s="5"/>
      <c r="D47" s="5"/>
    </row>
    <row r="48" spans="1:4">
      <c r="A48" s="4"/>
      <c r="B48" s="3"/>
      <c r="C48" s="5"/>
      <c r="D48" s="5"/>
    </row>
  </sheetData>
  <pageMargins left="0.75" right="0.75" top="1" bottom="1" header="0.5" footer="0.5"/>
  <pageSetup orientation="portrait" horizontalDpi="4294967292" vertic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btnFirst_Click">
                <anchor moveWithCells="1" sizeWithCells="1">
                  <from>
                    <xdr:col>2</xdr:col>
                    <xdr:colOff>2514600</xdr:colOff>
                    <xdr:row>1</xdr:row>
                    <xdr:rowOff>9525</xdr:rowOff>
                  </from>
                  <to>
                    <xdr:col>2</xdr:col>
                    <xdr:colOff>3295650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btn_lo_update_click">
                <anchor moveWithCells="1" sizeWithCells="1">
                  <from>
                    <xdr:col>3</xdr:col>
                    <xdr:colOff>66675</xdr:colOff>
                    <xdr:row>1</xdr:row>
                    <xdr:rowOff>38100</xdr:rowOff>
                  </from>
                  <to>
                    <xdr:col>3</xdr:col>
                    <xdr:colOff>1123950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btn_lo_delete_click">
                <anchor moveWithCells="1" sizeWithCells="1">
                  <from>
                    <xdr:col>4</xdr:col>
                    <xdr:colOff>38100</xdr:colOff>
                    <xdr:row>1</xdr:row>
                    <xdr:rowOff>9525</xdr:rowOff>
                  </from>
                  <to>
                    <xdr:col>4</xdr:col>
                    <xdr:colOff>809625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B100"/>
  <sheetViews>
    <sheetView workbookViewId="0">
      <pane xSplit="4" ySplit="9" topLeftCell="E34" activePane="bottomRight" state="frozen"/>
      <selection pane="topRight" activeCell="E1" sqref="E1"/>
      <selection pane="bottomLeft" activeCell="A10" sqref="A10"/>
      <selection pane="bottomRight" activeCell="E15" sqref="E15"/>
    </sheetView>
  </sheetViews>
  <sheetFormatPr defaultColWidth="11" defaultRowHeight="15.75"/>
  <sheetData>
    <row r="1" spans="1:28">
      <c r="A1" s="1" t="s">
        <v>9</v>
      </c>
      <c r="Y1" s="2" t="s">
        <v>22</v>
      </c>
      <c r="AA1" t="s">
        <v>79</v>
      </c>
      <c r="AB1" s="12">
        <f>COUNTIF(E6:W6,"*")</f>
        <v>1</v>
      </c>
    </row>
    <row r="2" spans="1:28">
      <c r="A2" t="s">
        <v>0</v>
      </c>
      <c r="B2" t="str">
        <f>CONCATENATE(LO!B2," (",LO!B4,")")</f>
        <v xml:space="preserve"> ()</v>
      </c>
      <c r="Y2" t="s">
        <v>19</v>
      </c>
      <c r="AA2" t="s">
        <v>80</v>
      </c>
      <c r="AB2" s="12">
        <f>COUNTIF(A10:A100,"*")</f>
        <v>28</v>
      </c>
    </row>
    <row r="3" spans="1:28">
      <c r="A3" t="s">
        <v>1</v>
      </c>
      <c r="B3">
        <f>LO!B3</f>
        <v>0</v>
      </c>
      <c r="Y3" t="s">
        <v>20</v>
      </c>
    </row>
    <row r="4" spans="1:28">
      <c r="Y4" t="s">
        <v>21</v>
      </c>
    </row>
    <row r="6" spans="1:28">
      <c r="A6" s="1" t="s">
        <v>10</v>
      </c>
      <c r="B6" s="1" t="s">
        <v>11</v>
      </c>
      <c r="C6" s="1" t="s">
        <v>12</v>
      </c>
      <c r="D6" s="6" t="s">
        <v>13</v>
      </c>
      <c r="E6" s="6" t="s">
        <v>114</v>
      </c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</row>
    <row r="7" spans="1:28">
      <c r="A7" s="1" t="s">
        <v>14</v>
      </c>
      <c r="B7" s="1" t="s">
        <v>14</v>
      </c>
      <c r="C7" s="1" t="s">
        <v>15</v>
      </c>
      <c r="D7" s="7">
        <f>SUM(E7:W7)</f>
        <v>0</v>
      </c>
      <c r="E7" s="7" t="s">
        <v>115</v>
      </c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</row>
    <row r="8" spans="1:28">
      <c r="D8" s="11" t="s">
        <v>18</v>
      </c>
      <c r="E8" s="8" t="str">
        <f>IF(E$9="One",One!$D7,IF(E$9="Two",Two!$D7,IF(E$9="Three",Three!$D7,"")))</f>
        <v/>
      </c>
      <c r="F8" s="8" t="str">
        <f>IF(F$9="One",One!$D7,IF(F$9="Two",Two!$D7,IF(F$9="Three",Three!$D7,"")))</f>
        <v/>
      </c>
      <c r="G8" s="8" t="str">
        <f>IF(G$9="One",One!$D7,IF(G$9="Two",Two!$D7,IF(G$9="Three",Three!$D7,"")))</f>
        <v/>
      </c>
      <c r="H8" s="8" t="str">
        <f>IF(H$9="One",One!$D7,IF(H$9="Two",Two!$D7,IF(H$9="Three",Three!$D7,"")))</f>
        <v/>
      </c>
      <c r="I8" s="8" t="str">
        <f>IF(I$9="One",One!$D7,IF(I$9="Two",Two!$D7,IF(I$9="Three",Three!$D7,"")))</f>
        <v/>
      </c>
      <c r="J8" s="8" t="str">
        <f>IF(J$9="One",One!$D7,IF(J$9="Two",Two!$D7,IF(J$9="Three",Three!$D7,"")))</f>
        <v/>
      </c>
      <c r="K8" s="8" t="str">
        <f>IF(K$9="One",One!$D7,IF(K$9="Two",Two!$D7,IF(K$9="Three",Three!$D7,"")))</f>
        <v/>
      </c>
      <c r="L8" s="8" t="str">
        <f>IF(L$9="One",One!$D7,IF(L$9="Two",Two!$D7,IF(L$9="Three",Three!$D7,"")))</f>
        <v/>
      </c>
      <c r="M8" s="8" t="str">
        <f>IF(M$9="One",One!$D7,IF(M$9="Two",Two!$D7,IF(M$9="Three",Three!$D7,"")))</f>
        <v/>
      </c>
      <c r="N8" s="8" t="str">
        <f>IF(N$9="One",One!$D7,IF(N$9="Two",Two!$D7,IF(N$9="Three",Three!$D7,"")))</f>
        <v/>
      </c>
      <c r="O8" s="8" t="str">
        <f>IF(O$9="One",One!$D7,IF(O$9="Two",Two!$D7,IF(O$9="Three",Three!$D7,"")))</f>
        <v/>
      </c>
      <c r="P8" s="8" t="str">
        <f>IF(P$9="One",One!$D7,IF(P$9="Two",Two!$D7,IF(P$9="Three",Three!$D7,"")))</f>
        <v/>
      </c>
      <c r="Q8" s="8" t="str">
        <f>IF(Q$9="One",One!$D7,IF(Q$9="Two",Two!$D7,IF(Q$9="Three",Three!$D7,"")))</f>
        <v/>
      </c>
      <c r="R8" s="8" t="str">
        <f>IF(R$9="One",One!$D7,IF(R$9="Two",Two!$D7,IF(R$9="Three",Three!$D7,"")))</f>
        <v/>
      </c>
      <c r="S8" s="8" t="str">
        <f>IF(S$9="One",One!$D7,IF(S$9="Two",Two!$D7,IF(S$9="Three",Three!$D7,"")))</f>
        <v/>
      </c>
      <c r="T8" s="8" t="str">
        <f>IF(T$9="One",One!$D7,IF(T$9="Two",Two!$D7,IF(T$9="Three",Three!$D7,"")))</f>
        <v/>
      </c>
      <c r="U8" s="8" t="str">
        <f>IF(U$9="One",One!$D7,IF(U$9="Two",Two!$D7,IF(U$9="Three",Three!$D7,"")))</f>
        <v/>
      </c>
      <c r="V8" s="8" t="str">
        <f>IF(V$9="One",One!$D7,IF(V$9="Two",Two!$D7,IF(V$9="Three",Three!$D7,"")))</f>
        <v/>
      </c>
      <c r="W8" s="8" t="str">
        <f>IF(W$9="One",One!$D7,IF(W$9="Two",Two!$D7,IF(W$9="Three",Three!$D7,"")))</f>
        <v/>
      </c>
    </row>
    <row r="9" spans="1:28">
      <c r="D9" s="11">
        <v>0</v>
      </c>
      <c r="E9" s="6" t="s">
        <v>22</v>
      </c>
      <c r="F9" s="6" t="s">
        <v>22</v>
      </c>
      <c r="G9" s="6" t="s">
        <v>22</v>
      </c>
      <c r="H9" s="6" t="s">
        <v>22</v>
      </c>
      <c r="I9" s="6" t="s">
        <v>22</v>
      </c>
      <c r="J9" s="6" t="s">
        <v>22</v>
      </c>
      <c r="K9" s="6" t="s">
        <v>22</v>
      </c>
      <c r="L9" s="6" t="s">
        <v>22</v>
      </c>
      <c r="M9" s="6" t="s">
        <v>22</v>
      </c>
      <c r="N9" s="6" t="s">
        <v>22</v>
      </c>
      <c r="O9" s="6" t="s">
        <v>22</v>
      </c>
      <c r="P9" s="6" t="s">
        <v>22</v>
      </c>
      <c r="Q9" s="6" t="s">
        <v>22</v>
      </c>
      <c r="R9" s="6" t="s">
        <v>22</v>
      </c>
      <c r="S9" s="6" t="s">
        <v>22</v>
      </c>
      <c r="T9" s="6" t="s">
        <v>22</v>
      </c>
      <c r="U9" s="6" t="s">
        <v>22</v>
      </c>
      <c r="V9" s="6" t="s">
        <v>22</v>
      </c>
      <c r="W9" s="6" t="s">
        <v>22</v>
      </c>
    </row>
    <row r="10" spans="1:28">
      <c r="A10" t="s">
        <v>23</v>
      </c>
      <c r="B10" t="s">
        <v>24</v>
      </c>
      <c r="C10" s="12">
        <v>35680162</v>
      </c>
      <c r="D10" s="14">
        <v>0</v>
      </c>
      <c r="E10" s="13" t="str">
        <f>IF(E$9="One",One!$D10,IF(E$9="Two",Two!$D10,IF(E$9="Three",Three!$D10,"")))</f>
        <v/>
      </c>
      <c r="F10" s="13" t="str">
        <f>IF(F$9="One",One!$D10,IF(F$9="Two",Two!$D10,IF(F$9="Three",Three!$D10,"")))</f>
        <v/>
      </c>
      <c r="G10" s="13" t="str">
        <f>IF(G$9="One",One!$D10,IF(G$9="Two",Two!$D10,IF(G$9="Three",Three!$D10,"")))</f>
        <v/>
      </c>
      <c r="H10" s="13" t="str">
        <f>IF(H$9="One",One!$D10,IF(H$9="Two",Two!$D10,IF(H$9="Three",Three!$D10,"")))</f>
        <v/>
      </c>
      <c r="I10" s="13" t="str">
        <f>IF(I$9="One",One!$D10,IF(I$9="Two",Two!$D10,IF(I$9="Three",Three!$D10,"")))</f>
        <v/>
      </c>
      <c r="J10" s="13" t="str">
        <f>IF(J$9="One",One!$D10,IF(J$9="Two",Two!$D10,IF(J$9="Three",Three!$D10,"")))</f>
        <v/>
      </c>
      <c r="K10" s="13" t="str">
        <f>IF(K$9="One",One!$D10,IF(K$9="Two",Two!$D10,IF(K$9="Three",Three!$D10,"")))</f>
        <v/>
      </c>
      <c r="L10" s="13" t="str">
        <f>IF(L$9="One",One!$D10,IF(L$9="Two",Two!$D10,IF(L$9="Three",Three!$D10,"")))</f>
        <v/>
      </c>
      <c r="M10" s="13" t="str">
        <f>IF(M$9="One",One!$D10,IF(M$9="Two",Two!$D10,IF(M$9="Three",Three!$D10,"")))</f>
        <v/>
      </c>
      <c r="N10" s="13" t="str">
        <f>IF(N$9="One",One!$D10,IF(N$9="Two",Two!$D10,IF(N$9="Three",Three!$D10,"")))</f>
        <v/>
      </c>
      <c r="O10" s="13" t="str">
        <f>IF(O$9="One",One!$D10,IF(O$9="Two",Two!$D10,IF(O$9="Three",Three!$D10,"")))</f>
        <v/>
      </c>
      <c r="P10" s="13" t="str">
        <f>IF(P$9="One",One!$D10,IF(P$9="Two",Two!$D10,IF(P$9="Three",Three!$D10,"")))</f>
        <v/>
      </c>
      <c r="Q10" s="13" t="str">
        <f>IF(Q$9="One",One!$D10,IF(Q$9="Two",Two!$D10,IF(Q$9="Three",Three!$D10,"")))</f>
        <v/>
      </c>
      <c r="R10" s="13" t="str">
        <f>IF(R$9="One",One!$D10,IF(R$9="Two",Two!$D10,IF(R$9="Three",Three!$D10,"")))</f>
        <v/>
      </c>
      <c r="S10" s="13" t="str">
        <f>IF(S$9="One",One!$D10,IF(S$9="Two",Two!$D10,IF(S$9="Three",Three!$D10,"")))</f>
        <v/>
      </c>
      <c r="T10" s="13" t="str">
        <f>IF(T$9="One",One!$D10,IF(T$9="Two",Two!$D10,IF(T$9="Three",Three!$D10,"")))</f>
        <v/>
      </c>
      <c r="U10" s="13" t="str">
        <f>IF(U$9="One",One!$D10,IF(U$9="Two",Two!$D10,IF(U$9="Three",Three!$D10,"")))</f>
        <v/>
      </c>
      <c r="V10" s="13" t="str">
        <f>IF(V$9="One",One!$D10,IF(V$9="Two",Two!$D10,IF(V$9="Three",Three!$D10,"")))</f>
        <v/>
      </c>
      <c r="W10" s="13" t="str">
        <f>IF(W$9="One",One!$D10,IF(W$9="Two",Two!$D10,IF(W$9="Three",Three!$D10,"")))</f>
        <v/>
      </c>
    </row>
    <row r="11" spans="1:28">
      <c r="A11" t="s">
        <v>25</v>
      </c>
      <c r="B11" t="s">
        <v>26</v>
      </c>
      <c r="C11" s="12">
        <v>48998132</v>
      </c>
      <c r="D11" s="14">
        <v>0</v>
      </c>
      <c r="E11" s="13" t="str">
        <f>IF(E$9="One",One!$D11,IF(E$9="Two",Two!$D11,IF(E$9="Three",Three!$D11,"")))</f>
        <v/>
      </c>
      <c r="F11" s="13" t="str">
        <f>IF(F$9="One",One!$D11,IF(F$9="Two",Two!$D11,IF(F$9="Three",Three!$D11,"")))</f>
        <v/>
      </c>
      <c r="G11" s="13" t="str">
        <f>IF(G$9="One",One!$D11,IF(G$9="Two",Two!$D11,IF(G$9="Three",Three!$D11,"")))</f>
        <v/>
      </c>
      <c r="H11" s="13" t="str">
        <f>IF(H$9="One",One!$D11,IF(H$9="Two",Two!$D11,IF(H$9="Three",Three!$D11,"")))</f>
        <v/>
      </c>
      <c r="I11" s="13" t="str">
        <f>IF(I$9="One",One!$D11,IF(I$9="Two",Two!$D11,IF(I$9="Three",Three!$D11,"")))</f>
        <v/>
      </c>
      <c r="J11" s="13" t="str">
        <f>IF(J$9="One",One!$D11,IF(J$9="Two",Two!$D11,IF(J$9="Three",Three!$D11,"")))</f>
        <v/>
      </c>
      <c r="K11" s="13" t="str">
        <f>IF(K$9="One",One!$D11,IF(K$9="Two",Two!$D11,IF(K$9="Three",Three!$D11,"")))</f>
        <v/>
      </c>
      <c r="L11" s="13" t="str">
        <f>IF(L$9="One",One!$D11,IF(L$9="Two",Two!$D11,IF(L$9="Three",Three!$D11,"")))</f>
        <v/>
      </c>
      <c r="M11" s="13" t="str">
        <f>IF(M$9="One",One!$D11,IF(M$9="Two",Two!$D11,IF(M$9="Three",Three!$D11,"")))</f>
        <v/>
      </c>
      <c r="N11" s="13" t="str">
        <f>IF(N$9="One",One!$D11,IF(N$9="Two",Two!$D11,IF(N$9="Three",Three!$D11,"")))</f>
        <v/>
      </c>
      <c r="O11" s="13" t="str">
        <f>IF(O$9="One",One!$D11,IF(O$9="Two",Two!$D11,IF(O$9="Three",Three!$D11,"")))</f>
        <v/>
      </c>
      <c r="P11" s="13" t="str">
        <f>IF(P$9="One",One!$D11,IF(P$9="Two",Two!$D11,IF(P$9="Three",Three!$D11,"")))</f>
        <v/>
      </c>
      <c r="Q11" s="13" t="str">
        <f>IF(Q$9="One",One!$D11,IF(Q$9="Two",Two!$D11,IF(Q$9="Three",Three!$D11,"")))</f>
        <v/>
      </c>
      <c r="R11" s="13" t="str">
        <f>IF(R$9="One",One!$D11,IF(R$9="Two",Two!$D11,IF(R$9="Three",Three!$D11,"")))</f>
        <v/>
      </c>
      <c r="S11" s="13" t="str">
        <f>IF(S$9="One",One!$D11,IF(S$9="Two",Two!$D11,IF(S$9="Three",Three!$D11,"")))</f>
        <v/>
      </c>
      <c r="T11" s="13" t="str">
        <f>IF(T$9="One",One!$D11,IF(T$9="Two",Two!$D11,IF(T$9="Three",Three!$D11,"")))</f>
        <v/>
      </c>
      <c r="U11" s="13" t="str">
        <f>IF(U$9="One",One!$D11,IF(U$9="Two",Two!$D11,IF(U$9="Three",Three!$D11,"")))</f>
        <v/>
      </c>
      <c r="V11" s="13" t="str">
        <f>IF(V$9="One",One!$D11,IF(V$9="Two",Two!$D11,IF(V$9="Three",Three!$D11,"")))</f>
        <v/>
      </c>
      <c r="W11" s="13" t="str">
        <f>IF(W$9="One",One!$D11,IF(W$9="Two",Two!$D11,IF(W$9="Three",Three!$D11,"")))</f>
        <v/>
      </c>
    </row>
    <row r="12" spans="1:28">
      <c r="A12" t="s">
        <v>27</v>
      </c>
      <c r="B12" t="s">
        <v>28</v>
      </c>
      <c r="C12" s="12">
        <v>77896340</v>
      </c>
      <c r="D12" s="14">
        <v>0</v>
      </c>
      <c r="E12" s="13" t="str">
        <f>IF(E$9="One",One!$D12,IF(E$9="Two",Two!$D12,IF(E$9="Three",Three!$D12,"")))</f>
        <v/>
      </c>
      <c r="F12" s="13" t="str">
        <f>IF(F$9="One",One!$D12,IF(F$9="Two",Two!$D12,IF(F$9="Three",Three!$D12,"")))</f>
        <v/>
      </c>
      <c r="G12" s="13" t="str">
        <f>IF(G$9="One",One!$D12,IF(G$9="Two",Two!$D12,IF(G$9="Three",Three!$D12,"")))</f>
        <v/>
      </c>
      <c r="H12" s="13" t="str">
        <f>IF(H$9="One",One!$D12,IF(H$9="Two",Two!$D12,IF(H$9="Three",Three!$D12,"")))</f>
        <v/>
      </c>
      <c r="I12" s="13" t="str">
        <f>IF(I$9="One",One!$D12,IF(I$9="Two",Two!$D12,IF(I$9="Three",Three!$D12,"")))</f>
        <v/>
      </c>
      <c r="J12" s="13" t="str">
        <f>IF(J$9="One",One!$D12,IF(J$9="Two",Two!$D12,IF(J$9="Three",Three!$D12,"")))</f>
        <v/>
      </c>
      <c r="K12" s="13" t="str">
        <f>IF(K$9="One",One!$D12,IF(K$9="Two",Two!$D12,IF(K$9="Three",Three!$D12,"")))</f>
        <v/>
      </c>
      <c r="L12" s="13" t="str">
        <f>IF(L$9="One",One!$D12,IF(L$9="Two",Two!$D12,IF(L$9="Three",Three!$D12,"")))</f>
        <v/>
      </c>
      <c r="M12" s="13" t="str">
        <f>IF(M$9="One",One!$D12,IF(M$9="Two",Two!$D12,IF(M$9="Three",Three!$D12,"")))</f>
        <v/>
      </c>
      <c r="N12" s="13" t="str">
        <f>IF(N$9="One",One!$D12,IF(N$9="Two",Two!$D12,IF(N$9="Three",Three!$D12,"")))</f>
        <v/>
      </c>
      <c r="O12" s="13" t="str">
        <f>IF(O$9="One",One!$D12,IF(O$9="Two",Two!$D12,IF(O$9="Three",Three!$D12,"")))</f>
        <v/>
      </c>
      <c r="P12" s="13" t="str">
        <f>IF(P$9="One",One!$D12,IF(P$9="Two",Two!$D12,IF(P$9="Three",Three!$D12,"")))</f>
        <v/>
      </c>
      <c r="Q12" s="13" t="str">
        <f>IF(Q$9="One",One!$D12,IF(Q$9="Two",Two!$D12,IF(Q$9="Three",Three!$D12,"")))</f>
        <v/>
      </c>
      <c r="R12" s="13" t="str">
        <f>IF(R$9="One",One!$D12,IF(R$9="Two",Two!$D12,IF(R$9="Three",Three!$D12,"")))</f>
        <v/>
      </c>
      <c r="S12" s="13" t="str">
        <f>IF(S$9="One",One!$D12,IF(S$9="Two",Two!$D12,IF(S$9="Three",Three!$D12,"")))</f>
        <v/>
      </c>
      <c r="T12" s="13" t="str">
        <f>IF(T$9="One",One!$D12,IF(T$9="Two",Two!$D12,IF(T$9="Three",Three!$D12,"")))</f>
        <v/>
      </c>
      <c r="U12" s="13" t="str">
        <f>IF(U$9="One",One!$D12,IF(U$9="Two",Two!$D12,IF(U$9="Three",Three!$D12,"")))</f>
        <v/>
      </c>
      <c r="V12" s="13" t="str">
        <f>IF(V$9="One",One!$D12,IF(V$9="Two",Two!$D12,IF(V$9="Three",Three!$D12,"")))</f>
        <v/>
      </c>
      <c r="W12" s="13" t="str">
        <f>IF(W$9="One",One!$D12,IF(W$9="Two",Two!$D12,IF(W$9="Three",Three!$D12,"")))</f>
        <v/>
      </c>
    </row>
    <row r="13" spans="1:28">
      <c r="A13" t="s">
        <v>29</v>
      </c>
      <c r="B13" t="s">
        <v>30</v>
      </c>
      <c r="C13" s="12">
        <v>10472860</v>
      </c>
      <c r="D13" s="14">
        <v>0</v>
      </c>
      <c r="E13" s="13" t="str">
        <f>IF(E$9="One",One!$D13,IF(E$9="Two",Two!$D13,IF(E$9="Three",Three!$D13,"")))</f>
        <v/>
      </c>
      <c r="F13" s="13" t="str">
        <f>IF(F$9="One",One!$D13,IF(F$9="Two",Two!$D13,IF(F$9="Three",Three!$D13,"")))</f>
        <v/>
      </c>
      <c r="G13" s="13" t="str">
        <f>IF(G$9="One",One!$D13,IF(G$9="Two",Two!$D13,IF(G$9="Three",Three!$D13,"")))</f>
        <v/>
      </c>
      <c r="H13" s="13" t="str">
        <f>IF(H$9="One",One!$D13,IF(H$9="Two",Two!$D13,IF(H$9="Three",Three!$D13,"")))</f>
        <v/>
      </c>
      <c r="I13" s="13" t="str">
        <f>IF(I$9="One",One!$D13,IF(I$9="Two",Two!$D13,IF(I$9="Three",Three!$D13,"")))</f>
        <v/>
      </c>
      <c r="J13" s="13" t="str">
        <f>IF(J$9="One",One!$D13,IF(J$9="Two",Two!$D13,IF(J$9="Three",Three!$D13,"")))</f>
        <v/>
      </c>
      <c r="K13" s="13" t="str">
        <f>IF(K$9="One",One!$D13,IF(K$9="Two",Two!$D13,IF(K$9="Three",Three!$D13,"")))</f>
        <v/>
      </c>
      <c r="L13" s="13" t="str">
        <f>IF(L$9="One",One!$D13,IF(L$9="Two",Two!$D13,IF(L$9="Three",Three!$D13,"")))</f>
        <v/>
      </c>
      <c r="M13" s="13" t="str">
        <f>IF(M$9="One",One!$D13,IF(M$9="Two",Two!$D13,IF(M$9="Three",Three!$D13,"")))</f>
        <v/>
      </c>
      <c r="N13" s="13" t="str">
        <f>IF(N$9="One",One!$D13,IF(N$9="Two",Two!$D13,IF(N$9="Three",Three!$D13,"")))</f>
        <v/>
      </c>
      <c r="O13" s="13" t="str">
        <f>IF(O$9="One",One!$D13,IF(O$9="Two",Two!$D13,IF(O$9="Three",Three!$D13,"")))</f>
        <v/>
      </c>
      <c r="P13" s="13" t="str">
        <f>IF(P$9="One",One!$D13,IF(P$9="Two",Two!$D13,IF(P$9="Three",Three!$D13,"")))</f>
        <v/>
      </c>
      <c r="Q13" s="13" t="str">
        <f>IF(Q$9="One",One!$D13,IF(Q$9="Two",Two!$D13,IF(Q$9="Three",Three!$D13,"")))</f>
        <v/>
      </c>
      <c r="R13" s="13" t="str">
        <f>IF(R$9="One",One!$D13,IF(R$9="Two",Two!$D13,IF(R$9="Three",Three!$D13,"")))</f>
        <v/>
      </c>
      <c r="S13" s="13" t="str">
        <f>IF(S$9="One",One!$D13,IF(S$9="Two",Two!$D13,IF(S$9="Three",Three!$D13,"")))</f>
        <v/>
      </c>
      <c r="T13" s="13" t="str">
        <f>IF(T$9="One",One!$D13,IF(T$9="Two",Two!$D13,IF(T$9="Three",Three!$D13,"")))</f>
        <v/>
      </c>
      <c r="U13" s="13" t="str">
        <f>IF(U$9="One",One!$D13,IF(U$9="Two",Two!$D13,IF(U$9="Three",Three!$D13,"")))</f>
        <v/>
      </c>
      <c r="V13" s="13" t="str">
        <f>IF(V$9="One",One!$D13,IF(V$9="Two",Two!$D13,IF(V$9="Three",Three!$D13,"")))</f>
        <v/>
      </c>
      <c r="W13" s="13" t="str">
        <f>IF(W$9="One",One!$D13,IF(W$9="Two",Two!$D13,IF(W$9="Three",Three!$D13,"")))</f>
        <v/>
      </c>
    </row>
    <row r="14" spans="1:28">
      <c r="A14" t="s">
        <v>31</v>
      </c>
      <c r="B14" t="s">
        <v>32</v>
      </c>
      <c r="C14" s="12">
        <v>97458323</v>
      </c>
      <c r="D14" s="14">
        <v>0</v>
      </c>
      <c r="E14" s="13" t="str">
        <f>IF(E$9="One",One!$D14,IF(E$9="Two",Two!$D14,IF(E$9="Three",Three!$D14,"")))</f>
        <v/>
      </c>
      <c r="F14" s="13" t="str">
        <f>IF(F$9="One",One!$D14,IF(F$9="Two",Two!$D14,IF(F$9="Three",Three!$D14,"")))</f>
        <v/>
      </c>
      <c r="G14" s="13" t="str">
        <f>IF(G$9="One",One!$D14,IF(G$9="Two",Two!$D14,IF(G$9="Three",Three!$D14,"")))</f>
        <v/>
      </c>
      <c r="H14" s="13" t="str">
        <f>IF(H$9="One",One!$D14,IF(H$9="Two",Two!$D14,IF(H$9="Three",Three!$D14,"")))</f>
        <v/>
      </c>
      <c r="I14" s="13" t="str">
        <f>IF(I$9="One",One!$D14,IF(I$9="Two",Two!$D14,IF(I$9="Three",Three!$D14,"")))</f>
        <v/>
      </c>
      <c r="J14" s="13" t="str">
        <f>IF(J$9="One",One!$D14,IF(J$9="Two",Two!$D14,IF(J$9="Three",Three!$D14,"")))</f>
        <v/>
      </c>
      <c r="K14" s="13" t="str">
        <f>IF(K$9="One",One!$D14,IF(K$9="Two",Two!$D14,IF(K$9="Three",Three!$D14,"")))</f>
        <v/>
      </c>
      <c r="L14" s="13" t="str">
        <f>IF(L$9="One",One!$D14,IF(L$9="Two",Two!$D14,IF(L$9="Three",Three!$D14,"")))</f>
        <v/>
      </c>
      <c r="M14" s="13" t="str">
        <f>IF(M$9="One",One!$D14,IF(M$9="Two",Two!$D14,IF(M$9="Three",Three!$D14,"")))</f>
        <v/>
      </c>
      <c r="N14" s="13" t="str">
        <f>IF(N$9="One",One!$D14,IF(N$9="Two",Two!$D14,IF(N$9="Three",Three!$D14,"")))</f>
        <v/>
      </c>
      <c r="O14" s="13" t="str">
        <f>IF(O$9="One",One!$D14,IF(O$9="Two",Two!$D14,IF(O$9="Three",Three!$D14,"")))</f>
        <v/>
      </c>
      <c r="P14" s="13" t="str">
        <f>IF(P$9="One",One!$D14,IF(P$9="Two",Two!$D14,IF(P$9="Three",Three!$D14,"")))</f>
        <v/>
      </c>
      <c r="Q14" s="13" t="str">
        <f>IF(Q$9="One",One!$D14,IF(Q$9="Two",Two!$D14,IF(Q$9="Three",Three!$D14,"")))</f>
        <v/>
      </c>
      <c r="R14" s="13" t="str">
        <f>IF(R$9="One",One!$D14,IF(R$9="Two",Two!$D14,IF(R$9="Three",Three!$D14,"")))</f>
        <v/>
      </c>
      <c r="S14" s="13" t="str">
        <f>IF(S$9="One",One!$D14,IF(S$9="Two",Two!$D14,IF(S$9="Three",Three!$D14,"")))</f>
        <v/>
      </c>
      <c r="T14" s="13" t="str">
        <f>IF(T$9="One",One!$D14,IF(T$9="Two",Two!$D14,IF(T$9="Three",Three!$D14,"")))</f>
        <v/>
      </c>
      <c r="U14" s="13" t="str">
        <f>IF(U$9="One",One!$D14,IF(U$9="Two",Two!$D14,IF(U$9="Three",Three!$D14,"")))</f>
        <v/>
      </c>
      <c r="V14" s="13" t="str">
        <f>IF(V$9="One",One!$D14,IF(V$9="Two",Two!$D14,IF(V$9="Three",Three!$D14,"")))</f>
        <v/>
      </c>
      <c r="W14" s="13" t="str">
        <f>IF(W$9="One",One!$D14,IF(W$9="Two",Two!$D14,IF(W$9="Three",Three!$D14,"")))</f>
        <v/>
      </c>
    </row>
    <row r="15" spans="1:28">
      <c r="A15" t="s">
        <v>33</v>
      </c>
      <c r="B15" t="s">
        <v>34</v>
      </c>
      <c r="C15" s="12">
        <v>54710323</v>
      </c>
      <c r="D15" s="14">
        <v>0</v>
      </c>
      <c r="E15" s="13" t="str">
        <f>IF(E$9="One",One!$D15,IF(E$9="Two",Two!$D15,IF(E$9="Three",Three!$D15,"")))</f>
        <v/>
      </c>
      <c r="F15" s="13" t="str">
        <f>IF(F$9="One",One!$D15,IF(F$9="Two",Two!$D15,IF(F$9="Three",Three!$D15,"")))</f>
        <v/>
      </c>
      <c r="G15" s="13" t="str">
        <f>IF(G$9="One",One!$D15,IF(G$9="Two",Two!$D15,IF(G$9="Three",Three!$D15,"")))</f>
        <v/>
      </c>
      <c r="H15" s="13" t="str">
        <f>IF(H$9="One",One!$D15,IF(H$9="Two",Two!$D15,IF(H$9="Three",Three!$D15,"")))</f>
        <v/>
      </c>
      <c r="I15" s="13" t="str">
        <f>IF(I$9="One",One!$D15,IF(I$9="Two",Two!$D15,IF(I$9="Three",Three!$D15,"")))</f>
        <v/>
      </c>
      <c r="J15" s="13" t="str">
        <f>IF(J$9="One",One!$D15,IF(J$9="Two",Two!$D15,IF(J$9="Three",Three!$D15,"")))</f>
        <v/>
      </c>
      <c r="K15" s="13" t="str">
        <f>IF(K$9="One",One!$D15,IF(K$9="Two",Two!$D15,IF(K$9="Three",Three!$D15,"")))</f>
        <v/>
      </c>
      <c r="L15" s="13" t="str">
        <f>IF(L$9="One",One!$D15,IF(L$9="Two",Two!$D15,IF(L$9="Three",Three!$D15,"")))</f>
        <v/>
      </c>
      <c r="M15" s="13" t="str">
        <f>IF(M$9="One",One!$D15,IF(M$9="Two",Two!$D15,IF(M$9="Three",Three!$D15,"")))</f>
        <v/>
      </c>
      <c r="N15" s="13" t="str">
        <f>IF(N$9="One",One!$D15,IF(N$9="Two",Two!$D15,IF(N$9="Three",Three!$D15,"")))</f>
        <v/>
      </c>
      <c r="O15" s="13" t="str">
        <f>IF(O$9="One",One!$D15,IF(O$9="Two",Two!$D15,IF(O$9="Three",Three!$D15,"")))</f>
        <v/>
      </c>
      <c r="P15" s="13" t="str">
        <f>IF(P$9="One",One!$D15,IF(P$9="Two",Two!$D15,IF(P$9="Three",Three!$D15,"")))</f>
        <v/>
      </c>
      <c r="Q15" s="13" t="str">
        <f>IF(Q$9="One",One!$D15,IF(Q$9="Two",Two!$D15,IF(Q$9="Three",Three!$D15,"")))</f>
        <v/>
      </c>
      <c r="R15" s="13" t="str">
        <f>IF(R$9="One",One!$D15,IF(R$9="Two",Two!$D15,IF(R$9="Three",Three!$D15,"")))</f>
        <v/>
      </c>
      <c r="S15" s="13" t="str">
        <f>IF(S$9="One",One!$D15,IF(S$9="Two",Two!$D15,IF(S$9="Three",Three!$D15,"")))</f>
        <v/>
      </c>
      <c r="T15" s="13" t="str">
        <f>IF(T$9="One",One!$D15,IF(T$9="Two",Two!$D15,IF(T$9="Three",Three!$D15,"")))</f>
        <v/>
      </c>
      <c r="U15" s="13" t="str">
        <f>IF(U$9="One",One!$D15,IF(U$9="Two",Two!$D15,IF(U$9="Three",Three!$D15,"")))</f>
        <v/>
      </c>
      <c r="V15" s="13" t="str">
        <f>IF(V$9="One",One!$D15,IF(V$9="Two",Two!$D15,IF(V$9="Three",Three!$D15,"")))</f>
        <v/>
      </c>
      <c r="W15" s="13" t="str">
        <f>IF(W$9="One",One!$D15,IF(W$9="Two",Two!$D15,IF(W$9="Three",Three!$D15,"")))</f>
        <v/>
      </c>
    </row>
    <row r="16" spans="1:28">
      <c r="A16" t="s">
        <v>35</v>
      </c>
      <c r="B16" t="s">
        <v>36</v>
      </c>
      <c r="C16" s="12">
        <v>57528013</v>
      </c>
      <c r="D16" s="14">
        <v>0</v>
      </c>
      <c r="E16" s="13" t="str">
        <f>IF(E$9="One",One!$D16,IF(E$9="Two",Two!$D16,IF(E$9="Three",Three!$D16,"")))</f>
        <v/>
      </c>
      <c r="F16" s="13" t="str">
        <f>IF(F$9="One",One!$D16,IF(F$9="Two",Two!$D16,IF(F$9="Three",Three!$D16,"")))</f>
        <v/>
      </c>
      <c r="G16" s="13" t="str">
        <f>IF(G$9="One",One!$D16,IF(G$9="Two",Two!$D16,IF(G$9="Three",Three!$D16,"")))</f>
        <v/>
      </c>
      <c r="H16" s="13" t="str">
        <f>IF(H$9="One",One!$D16,IF(H$9="Two",Two!$D16,IF(H$9="Three",Three!$D16,"")))</f>
        <v/>
      </c>
      <c r="I16" s="13" t="str">
        <f>IF(I$9="One",One!$D16,IF(I$9="Two",Two!$D16,IF(I$9="Three",Three!$D16,"")))</f>
        <v/>
      </c>
      <c r="J16" s="13" t="str">
        <f>IF(J$9="One",One!$D16,IF(J$9="Two",Two!$D16,IF(J$9="Three",Three!$D16,"")))</f>
        <v/>
      </c>
      <c r="K16" s="13" t="str">
        <f>IF(K$9="One",One!$D16,IF(K$9="Two",Two!$D16,IF(K$9="Three",Three!$D16,"")))</f>
        <v/>
      </c>
      <c r="L16" s="13" t="str">
        <f>IF(L$9="One",One!$D16,IF(L$9="Two",Two!$D16,IF(L$9="Three",Three!$D16,"")))</f>
        <v/>
      </c>
      <c r="M16" s="13" t="str">
        <f>IF(M$9="One",One!$D16,IF(M$9="Two",Two!$D16,IF(M$9="Three",Three!$D16,"")))</f>
        <v/>
      </c>
      <c r="N16" s="13" t="str">
        <f>IF(N$9="One",One!$D16,IF(N$9="Two",Two!$D16,IF(N$9="Three",Three!$D16,"")))</f>
        <v/>
      </c>
      <c r="O16" s="13" t="str">
        <f>IF(O$9="One",One!$D16,IF(O$9="Two",Two!$D16,IF(O$9="Three",Three!$D16,"")))</f>
        <v/>
      </c>
      <c r="P16" s="13" t="str">
        <f>IF(P$9="One",One!$D16,IF(P$9="Two",Two!$D16,IF(P$9="Three",Three!$D16,"")))</f>
        <v/>
      </c>
      <c r="Q16" s="13" t="str">
        <f>IF(Q$9="One",One!$D16,IF(Q$9="Two",Two!$D16,IF(Q$9="Three",Three!$D16,"")))</f>
        <v/>
      </c>
      <c r="R16" s="13" t="str">
        <f>IF(R$9="One",One!$D16,IF(R$9="Two",Two!$D16,IF(R$9="Three",Three!$D16,"")))</f>
        <v/>
      </c>
      <c r="S16" s="13" t="str">
        <f>IF(S$9="One",One!$D16,IF(S$9="Two",Two!$D16,IF(S$9="Three",Three!$D16,"")))</f>
        <v/>
      </c>
      <c r="T16" s="13" t="str">
        <f>IF(T$9="One",One!$D16,IF(T$9="Two",Two!$D16,IF(T$9="Three",Three!$D16,"")))</f>
        <v/>
      </c>
      <c r="U16" s="13" t="str">
        <f>IF(U$9="One",One!$D16,IF(U$9="Two",Two!$D16,IF(U$9="Three",Three!$D16,"")))</f>
        <v/>
      </c>
      <c r="V16" s="13" t="str">
        <f>IF(V$9="One",One!$D16,IF(V$9="Two",Two!$D16,IF(V$9="Three",Three!$D16,"")))</f>
        <v/>
      </c>
      <c r="W16" s="13" t="str">
        <f>IF(W$9="One",One!$D16,IF(W$9="Two",Two!$D16,IF(W$9="Three",Three!$D16,"")))</f>
        <v/>
      </c>
    </row>
    <row r="17" spans="1:23">
      <c r="A17" t="s">
        <v>37</v>
      </c>
      <c r="B17" t="s">
        <v>38</v>
      </c>
      <c r="C17" s="12">
        <v>46076400</v>
      </c>
      <c r="D17" s="14">
        <v>0</v>
      </c>
      <c r="E17" s="13" t="str">
        <f>IF(E$9="One",One!$D17,IF(E$9="Two",Two!$D17,IF(E$9="Three",Three!$D17,"")))</f>
        <v/>
      </c>
      <c r="F17" s="13" t="str">
        <f>IF(F$9="One",One!$D17,IF(F$9="Two",Two!$D17,IF(F$9="Three",Three!$D17,"")))</f>
        <v/>
      </c>
      <c r="G17" s="13" t="str">
        <f>IF(G$9="One",One!$D17,IF(G$9="Two",Two!$D17,IF(G$9="Three",Three!$D17,"")))</f>
        <v/>
      </c>
      <c r="H17" s="13" t="str">
        <f>IF(H$9="One",One!$D17,IF(H$9="Two",Two!$D17,IF(H$9="Three",Three!$D17,"")))</f>
        <v/>
      </c>
      <c r="I17" s="13" t="str">
        <f>IF(I$9="One",One!$D17,IF(I$9="Two",Two!$D17,IF(I$9="Three",Three!$D17,"")))</f>
        <v/>
      </c>
      <c r="J17" s="13" t="str">
        <f>IF(J$9="One",One!$D17,IF(J$9="Two",Two!$D17,IF(J$9="Three",Three!$D17,"")))</f>
        <v/>
      </c>
      <c r="K17" s="13" t="str">
        <f>IF(K$9="One",One!$D17,IF(K$9="Two",Two!$D17,IF(K$9="Three",Three!$D17,"")))</f>
        <v/>
      </c>
      <c r="L17" s="13" t="str">
        <f>IF(L$9="One",One!$D17,IF(L$9="Two",Two!$D17,IF(L$9="Three",Three!$D17,"")))</f>
        <v/>
      </c>
      <c r="M17" s="13" t="str">
        <f>IF(M$9="One",One!$D17,IF(M$9="Two",Two!$D17,IF(M$9="Three",Three!$D17,"")))</f>
        <v/>
      </c>
      <c r="N17" s="13" t="str">
        <f>IF(N$9="One",One!$D17,IF(N$9="Two",Two!$D17,IF(N$9="Three",Three!$D17,"")))</f>
        <v/>
      </c>
      <c r="O17" s="13" t="str">
        <f>IF(O$9="One",One!$D17,IF(O$9="Two",Two!$D17,IF(O$9="Three",Three!$D17,"")))</f>
        <v/>
      </c>
      <c r="P17" s="13" t="str">
        <f>IF(P$9="One",One!$D17,IF(P$9="Two",Two!$D17,IF(P$9="Three",Three!$D17,"")))</f>
        <v/>
      </c>
      <c r="Q17" s="13" t="str">
        <f>IF(Q$9="One",One!$D17,IF(Q$9="Two",Two!$D17,IF(Q$9="Three",Three!$D17,"")))</f>
        <v/>
      </c>
      <c r="R17" s="13" t="str">
        <f>IF(R$9="One",One!$D17,IF(R$9="Two",Two!$D17,IF(R$9="Three",Three!$D17,"")))</f>
        <v/>
      </c>
      <c r="S17" s="13" t="str">
        <f>IF(S$9="One",One!$D17,IF(S$9="Two",Two!$D17,IF(S$9="Three",Three!$D17,"")))</f>
        <v/>
      </c>
      <c r="T17" s="13" t="str">
        <f>IF(T$9="One",One!$D17,IF(T$9="Two",Two!$D17,IF(T$9="Three",Three!$D17,"")))</f>
        <v/>
      </c>
      <c r="U17" s="13" t="str">
        <f>IF(U$9="One",One!$D17,IF(U$9="Two",Two!$D17,IF(U$9="Three",Three!$D17,"")))</f>
        <v/>
      </c>
      <c r="V17" s="13" t="str">
        <f>IF(V$9="One",One!$D17,IF(V$9="Two",Two!$D17,IF(V$9="Three",Three!$D17,"")))</f>
        <v/>
      </c>
      <c r="W17" s="13" t="str">
        <f>IF(W$9="One",One!$D17,IF(W$9="Two",Two!$D17,IF(W$9="Three",Three!$D17,"")))</f>
        <v/>
      </c>
    </row>
    <row r="18" spans="1:23">
      <c r="A18" t="s">
        <v>39</v>
      </c>
      <c r="B18" t="s">
        <v>40</v>
      </c>
      <c r="C18" s="12">
        <v>68224023</v>
      </c>
      <c r="D18" s="14">
        <v>0</v>
      </c>
      <c r="E18" s="13" t="str">
        <f>IF(E$9="One",One!$D18,IF(E$9="Two",Two!$D18,IF(E$9="Three",Three!$D18,"")))</f>
        <v/>
      </c>
      <c r="F18" s="13" t="str">
        <f>IF(F$9="One",One!$D18,IF(F$9="Two",Two!$D18,IF(F$9="Three",Three!$D18,"")))</f>
        <v/>
      </c>
      <c r="G18" s="13" t="str">
        <f>IF(G$9="One",One!$D18,IF(G$9="Two",Two!$D18,IF(G$9="Three",Three!$D18,"")))</f>
        <v/>
      </c>
      <c r="H18" s="13" t="str">
        <f>IF(H$9="One",One!$D18,IF(H$9="Two",Two!$D18,IF(H$9="Three",Three!$D18,"")))</f>
        <v/>
      </c>
      <c r="I18" s="13" t="str">
        <f>IF(I$9="One",One!$D18,IF(I$9="Two",Two!$D18,IF(I$9="Three",Three!$D18,"")))</f>
        <v/>
      </c>
      <c r="J18" s="13" t="str">
        <f>IF(J$9="One",One!$D18,IF(J$9="Two",Two!$D18,IF(J$9="Three",Three!$D18,"")))</f>
        <v/>
      </c>
      <c r="K18" s="13" t="str">
        <f>IF(K$9="One",One!$D18,IF(K$9="Two",Two!$D18,IF(K$9="Three",Three!$D18,"")))</f>
        <v/>
      </c>
      <c r="L18" s="13" t="str">
        <f>IF(L$9="One",One!$D18,IF(L$9="Two",Two!$D18,IF(L$9="Three",Three!$D18,"")))</f>
        <v/>
      </c>
      <c r="M18" s="13" t="str">
        <f>IF(M$9="One",One!$D18,IF(M$9="Two",Two!$D18,IF(M$9="Three",Three!$D18,"")))</f>
        <v/>
      </c>
      <c r="N18" s="13" t="str">
        <f>IF(N$9="One",One!$D18,IF(N$9="Two",Two!$D18,IF(N$9="Three",Three!$D18,"")))</f>
        <v/>
      </c>
      <c r="O18" s="13" t="str">
        <f>IF(O$9="One",One!$D18,IF(O$9="Two",Two!$D18,IF(O$9="Three",Three!$D18,"")))</f>
        <v/>
      </c>
      <c r="P18" s="13" t="str">
        <f>IF(P$9="One",One!$D18,IF(P$9="Two",Two!$D18,IF(P$9="Three",Three!$D18,"")))</f>
        <v/>
      </c>
      <c r="Q18" s="13" t="str">
        <f>IF(Q$9="One",One!$D18,IF(Q$9="Two",Two!$D18,IF(Q$9="Three",Three!$D18,"")))</f>
        <v/>
      </c>
      <c r="R18" s="13" t="str">
        <f>IF(R$9="One",One!$D18,IF(R$9="Two",Two!$D18,IF(R$9="Three",Three!$D18,"")))</f>
        <v/>
      </c>
      <c r="S18" s="13" t="str">
        <f>IF(S$9="One",One!$D18,IF(S$9="Two",Two!$D18,IF(S$9="Three",Three!$D18,"")))</f>
        <v/>
      </c>
      <c r="T18" s="13" t="str">
        <f>IF(T$9="One",One!$D18,IF(T$9="Two",Two!$D18,IF(T$9="Three",Three!$D18,"")))</f>
        <v/>
      </c>
      <c r="U18" s="13" t="str">
        <f>IF(U$9="One",One!$D18,IF(U$9="Two",Two!$D18,IF(U$9="Three",Three!$D18,"")))</f>
        <v/>
      </c>
      <c r="V18" s="13" t="str">
        <f>IF(V$9="One",One!$D18,IF(V$9="Two",Two!$D18,IF(V$9="Three",Three!$D18,"")))</f>
        <v/>
      </c>
      <c r="W18" s="13" t="str">
        <f>IF(W$9="One",One!$D18,IF(W$9="Two",Two!$D18,IF(W$9="Three",Three!$D18,"")))</f>
        <v/>
      </c>
    </row>
    <row r="19" spans="1:23">
      <c r="A19" t="s">
        <v>41</v>
      </c>
      <c r="B19" t="s">
        <v>42</v>
      </c>
      <c r="C19" s="12">
        <v>44898071</v>
      </c>
      <c r="D19" s="14">
        <v>0</v>
      </c>
      <c r="E19" s="13" t="str">
        <f>IF(E$9="One",One!$D19,IF(E$9="Two",Two!$D19,IF(E$9="Three",Three!$D19,"")))</f>
        <v/>
      </c>
      <c r="F19" s="13" t="str">
        <f>IF(F$9="One",One!$D19,IF(F$9="Two",Two!$D19,IF(F$9="Three",Three!$D19,"")))</f>
        <v/>
      </c>
      <c r="G19" s="13" t="str">
        <f>IF(G$9="One",One!$D19,IF(G$9="Two",Two!$D19,IF(G$9="Three",Three!$D19,"")))</f>
        <v/>
      </c>
      <c r="H19" s="13" t="str">
        <f>IF(H$9="One",One!$D19,IF(H$9="Two",Two!$D19,IF(H$9="Three",Three!$D19,"")))</f>
        <v/>
      </c>
      <c r="I19" s="13" t="str">
        <f>IF(I$9="One",One!$D19,IF(I$9="Two",Two!$D19,IF(I$9="Three",Three!$D19,"")))</f>
        <v/>
      </c>
      <c r="J19" s="13" t="str">
        <f>IF(J$9="One",One!$D19,IF(J$9="Two",Two!$D19,IF(J$9="Three",Three!$D19,"")))</f>
        <v/>
      </c>
      <c r="K19" s="13" t="str">
        <f>IF(K$9="One",One!$D19,IF(K$9="Two",Two!$D19,IF(K$9="Three",Three!$D19,"")))</f>
        <v/>
      </c>
      <c r="L19" s="13" t="str">
        <f>IF(L$9="One",One!$D19,IF(L$9="Two",Two!$D19,IF(L$9="Three",Three!$D19,"")))</f>
        <v/>
      </c>
      <c r="M19" s="13" t="str">
        <f>IF(M$9="One",One!$D19,IF(M$9="Two",Two!$D19,IF(M$9="Three",Three!$D19,"")))</f>
        <v/>
      </c>
      <c r="N19" s="13" t="str">
        <f>IF(N$9="One",One!$D19,IF(N$9="Two",Two!$D19,IF(N$9="Three",Three!$D19,"")))</f>
        <v/>
      </c>
      <c r="O19" s="13" t="str">
        <f>IF(O$9="One",One!$D19,IF(O$9="Two",Two!$D19,IF(O$9="Three",Three!$D19,"")))</f>
        <v/>
      </c>
      <c r="P19" s="13" t="str">
        <f>IF(P$9="One",One!$D19,IF(P$9="Two",Two!$D19,IF(P$9="Three",Three!$D19,"")))</f>
        <v/>
      </c>
      <c r="Q19" s="13" t="str">
        <f>IF(Q$9="One",One!$D19,IF(Q$9="Two",Two!$D19,IF(Q$9="Three",Three!$D19,"")))</f>
        <v/>
      </c>
      <c r="R19" s="13" t="str">
        <f>IF(R$9="One",One!$D19,IF(R$9="Two",Two!$D19,IF(R$9="Three",Three!$D19,"")))</f>
        <v/>
      </c>
      <c r="S19" s="13" t="str">
        <f>IF(S$9="One",One!$D19,IF(S$9="Two",Two!$D19,IF(S$9="Three",Three!$D19,"")))</f>
        <v/>
      </c>
      <c r="T19" s="13" t="str">
        <f>IF(T$9="One",One!$D19,IF(T$9="Two",Two!$D19,IF(T$9="Three",Three!$D19,"")))</f>
        <v/>
      </c>
      <c r="U19" s="13" t="str">
        <f>IF(U$9="One",One!$D19,IF(U$9="Two",Two!$D19,IF(U$9="Three",Three!$D19,"")))</f>
        <v/>
      </c>
      <c r="V19" s="13" t="str">
        <f>IF(V$9="One",One!$D19,IF(V$9="Two",Two!$D19,IF(V$9="Three",Three!$D19,"")))</f>
        <v/>
      </c>
      <c r="W19" s="13" t="str">
        <f>IF(W$9="One",One!$D19,IF(W$9="Two",Two!$D19,IF(W$9="Three",Three!$D19,"")))</f>
        <v/>
      </c>
    </row>
    <row r="20" spans="1:23">
      <c r="A20" t="s">
        <v>43</v>
      </c>
      <c r="B20" t="s">
        <v>44</v>
      </c>
      <c r="C20" s="12">
        <v>61782509</v>
      </c>
      <c r="D20" s="14">
        <v>0</v>
      </c>
      <c r="E20" s="13" t="str">
        <f>IF(E$9="One",One!$D20,IF(E$9="Two",Two!$D20,IF(E$9="Three",Three!$D20,"")))</f>
        <v/>
      </c>
      <c r="F20" s="13" t="str">
        <f>IF(F$9="One",One!$D20,IF(F$9="Two",Two!$D20,IF(F$9="Three",Three!$D20,"")))</f>
        <v/>
      </c>
      <c r="G20" s="13" t="str">
        <f>IF(G$9="One",One!$D20,IF(G$9="Two",Two!$D20,IF(G$9="Three",Three!$D20,"")))</f>
        <v/>
      </c>
      <c r="H20" s="13" t="str">
        <f>IF(H$9="One",One!$D20,IF(H$9="Two",Two!$D20,IF(H$9="Three",Three!$D20,"")))</f>
        <v/>
      </c>
      <c r="I20" s="13" t="str">
        <f>IF(I$9="One",One!$D20,IF(I$9="Two",Two!$D20,IF(I$9="Three",Three!$D20,"")))</f>
        <v/>
      </c>
      <c r="J20" s="13" t="str">
        <f>IF(J$9="One",One!$D20,IF(J$9="Two",Two!$D20,IF(J$9="Three",Three!$D20,"")))</f>
        <v/>
      </c>
      <c r="K20" s="13" t="str">
        <f>IF(K$9="One",One!$D20,IF(K$9="Two",Two!$D20,IF(K$9="Three",Three!$D20,"")))</f>
        <v/>
      </c>
      <c r="L20" s="13" t="str">
        <f>IF(L$9="One",One!$D20,IF(L$9="Two",Two!$D20,IF(L$9="Three",Three!$D20,"")))</f>
        <v/>
      </c>
      <c r="M20" s="13" t="str">
        <f>IF(M$9="One",One!$D20,IF(M$9="Two",Two!$D20,IF(M$9="Three",Three!$D20,"")))</f>
        <v/>
      </c>
      <c r="N20" s="13" t="str">
        <f>IF(N$9="One",One!$D20,IF(N$9="Two",Two!$D20,IF(N$9="Three",Three!$D20,"")))</f>
        <v/>
      </c>
      <c r="O20" s="13" t="str">
        <f>IF(O$9="One",One!$D20,IF(O$9="Two",Two!$D20,IF(O$9="Three",Three!$D20,"")))</f>
        <v/>
      </c>
      <c r="P20" s="13" t="str">
        <f>IF(P$9="One",One!$D20,IF(P$9="Two",Two!$D20,IF(P$9="Three",Three!$D20,"")))</f>
        <v/>
      </c>
      <c r="Q20" s="13" t="str">
        <f>IF(Q$9="One",One!$D20,IF(Q$9="Two",Two!$D20,IF(Q$9="Three",Three!$D20,"")))</f>
        <v/>
      </c>
      <c r="R20" s="13" t="str">
        <f>IF(R$9="One",One!$D20,IF(R$9="Two",Two!$D20,IF(R$9="Three",Three!$D20,"")))</f>
        <v/>
      </c>
      <c r="S20" s="13" t="str">
        <f>IF(S$9="One",One!$D20,IF(S$9="Two",Two!$D20,IF(S$9="Three",Three!$D20,"")))</f>
        <v/>
      </c>
      <c r="T20" s="13" t="str">
        <f>IF(T$9="One",One!$D20,IF(T$9="Two",Two!$D20,IF(T$9="Three",Three!$D20,"")))</f>
        <v/>
      </c>
      <c r="U20" s="13" t="str">
        <f>IF(U$9="One",One!$D20,IF(U$9="Two",Two!$D20,IF(U$9="Three",Three!$D20,"")))</f>
        <v/>
      </c>
      <c r="V20" s="13" t="str">
        <f>IF(V$9="One",One!$D20,IF(V$9="Two",Two!$D20,IF(V$9="Three",Three!$D20,"")))</f>
        <v/>
      </c>
      <c r="W20" s="13" t="str">
        <f>IF(W$9="One",One!$D20,IF(W$9="Two",Two!$D20,IF(W$9="Three",Three!$D20,"")))</f>
        <v/>
      </c>
    </row>
    <row r="21" spans="1:23">
      <c r="A21" t="s">
        <v>45</v>
      </c>
      <c r="B21" t="s">
        <v>46</v>
      </c>
      <c r="C21" s="12">
        <v>4197486</v>
      </c>
      <c r="D21" s="14">
        <v>0</v>
      </c>
      <c r="E21" s="13" t="str">
        <f>IF(E$9="One",One!$D21,IF(E$9="Two",Two!$D21,IF(E$9="Three",Three!$D21,"")))</f>
        <v/>
      </c>
      <c r="F21" s="13" t="str">
        <f>IF(F$9="One",One!$D21,IF(F$9="Two",Two!$D21,IF(F$9="Three",Three!$D21,"")))</f>
        <v/>
      </c>
      <c r="G21" s="13" t="str">
        <f>IF(G$9="One",One!$D21,IF(G$9="Two",Two!$D21,IF(G$9="Three",Three!$D21,"")))</f>
        <v/>
      </c>
      <c r="H21" s="13" t="str">
        <f>IF(H$9="One",One!$D21,IF(H$9="Two",Two!$D21,IF(H$9="Three",Three!$D21,"")))</f>
        <v/>
      </c>
      <c r="I21" s="13" t="str">
        <f>IF(I$9="One",One!$D21,IF(I$9="Two",Two!$D21,IF(I$9="Three",Three!$D21,"")))</f>
        <v/>
      </c>
      <c r="J21" s="13" t="str">
        <f>IF(J$9="One",One!$D21,IF(J$9="Two",Two!$D21,IF(J$9="Three",Three!$D21,"")))</f>
        <v/>
      </c>
      <c r="K21" s="13" t="str">
        <f>IF(K$9="One",One!$D21,IF(K$9="Two",Two!$D21,IF(K$9="Three",Three!$D21,"")))</f>
        <v/>
      </c>
      <c r="L21" s="13" t="str">
        <f>IF(L$9="One",One!$D21,IF(L$9="Two",Two!$D21,IF(L$9="Three",Three!$D21,"")))</f>
        <v/>
      </c>
      <c r="M21" s="13" t="str">
        <f>IF(M$9="One",One!$D21,IF(M$9="Two",Two!$D21,IF(M$9="Three",Three!$D21,"")))</f>
        <v/>
      </c>
      <c r="N21" s="13" t="str">
        <f>IF(N$9="One",One!$D21,IF(N$9="Two",Two!$D21,IF(N$9="Three",Three!$D21,"")))</f>
        <v/>
      </c>
      <c r="O21" s="13" t="str">
        <f>IF(O$9="One",One!$D21,IF(O$9="Two",Two!$D21,IF(O$9="Three",Three!$D21,"")))</f>
        <v/>
      </c>
      <c r="P21" s="13" t="str">
        <f>IF(P$9="One",One!$D21,IF(P$9="Two",Two!$D21,IF(P$9="Three",Three!$D21,"")))</f>
        <v/>
      </c>
      <c r="Q21" s="13" t="str">
        <f>IF(Q$9="One",One!$D21,IF(Q$9="Two",Two!$D21,IF(Q$9="Three",Three!$D21,"")))</f>
        <v/>
      </c>
      <c r="R21" s="13" t="str">
        <f>IF(R$9="One",One!$D21,IF(R$9="Two",Two!$D21,IF(R$9="Three",Three!$D21,"")))</f>
        <v/>
      </c>
      <c r="S21" s="13" t="str">
        <f>IF(S$9="One",One!$D21,IF(S$9="Two",Two!$D21,IF(S$9="Three",Three!$D21,"")))</f>
        <v/>
      </c>
      <c r="T21" s="13" t="str">
        <f>IF(T$9="One",One!$D21,IF(T$9="Two",Two!$D21,IF(T$9="Three",Three!$D21,"")))</f>
        <v/>
      </c>
      <c r="U21" s="13" t="str">
        <f>IF(U$9="One",One!$D21,IF(U$9="Two",Two!$D21,IF(U$9="Three",Three!$D21,"")))</f>
        <v/>
      </c>
      <c r="V21" s="13" t="str">
        <f>IF(V$9="One",One!$D21,IF(V$9="Two",Two!$D21,IF(V$9="Three",Three!$D21,"")))</f>
        <v/>
      </c>
      <c r="W21" s="13" t="str">
        <f>IF(W$9="One",One!$D21,IF(W$9="Two",Two!$D21,IF(W$9="Three",Three!$D21,"")))</f>
        <v/>
      </c>
    </row>
    <row r="22" spans="1:23">
      <c r="A22" t="s">
        <v>47</v>
      </c>
      <c r="B22" t="s">
        <v>48</v>
      </c>
      <c r="C22" s="12">
        <v>51295906</v>
      </c>
      <c r="D22" s="14">
        <v>0</v>
      </c>
      <c r="E22" s="13" t="str">
        <f>IF(E$9="One",One!$D22,IF(E$9="Two",Two!$D22,IF(E$9="Three",Three!$D22,"")))</f>
        <v/>
      </c>
      <c r="F22" s="13" t="str">
        <f>IF(F$9="One",One!$D22,IF(F$9="Two",Two!$D22,IF(F$9="Three",Three!$D22,"")))</f>
        <v/>
      </c>
      <c r="G22" s="13" t="str">
        <f>IF(G$9="One",One!$D22,IF(G$9="Two",Two!$D22,IF(G$9="Three",Three!$D22,"")))</f>
        <v/>
      </c>
      <c r="H22" s="13" t="str">
        <f>IF(H$9="One",One!$D22,IF(H$9="Two",Two!$D22,IF(H$9="Three",Three!$D22,"")))</f>
        <v/>
      </c>
      <c r="I22" s="13" t="str">
        <f>IF(I$9="One",One!$D22,IF(I$9="Two",Two!$D22,IF(I$9="Three",Three!$D22,"")))</f>
        <v/>
      </c>
      <c r="J22" s="13" t="str">
        <f>IF(J$9="One",One!$D22,IF(J$9="Two",Two!$D22,IF(J$9="Three",Three!$D22,"")))</f>
        <v/>
      </c>
      <c r="K22" s="13" t="str">
        <f>IF(K$9="One",One!$D22,IF(K$9="Two",Two!$D22,IF(K$9="Three",Three!$D22,"")))</f>
        <v/>
      </c>
      <c r="L22" s="13" t="str">
        <f>IF(L$9="One",One!$D22,IF(L$9="Two",Two!$D22,IF(L$9="Three",Three!$D22,"")))</f>
        <v/>
      </c>
      <c r="M22" s="13" t="str">
        <f>IF(M$9="One",One!$D22,IF(M$9="Two",Two!$D22,IF(M$9="Three",Three!$D22,"")))</f>
        <v/>
      </c>
      <c r="N22" s="13" t="str">
        <f>IF(N$9="One",One!$D22,IF(N$9="Two",Two!$D22,IF(N$9="Three",Three!$D22,"")))</f>
        <v/>
      </c>
      <c r="O22" s="13" t="str">
        <f>IF(O$9="One",One!$D22,IF(O$9="Two",Two!$D22,IF(O$9="Three",Three!$D22,"")))</f>
        <v/>
      </c>
      <c r="P22" s="13" t="str">
        <f>IF(P$9="One",One!$D22,IF(P$9="Two",Two!$D22,IF(P$9="Three",Three!$D22,"")))</f>
        <v/>
      </c>
      <c r="Q22" s="13" t="str">
        <f>IF(Q$9="One",One!$D22,IF(Q$9="Two",Two!$D22,IF(Q$9="Three",Three!$D22,"")))</f>
        <v/>
      </c>
      <c r="R22" s="13" t="str">
        <f>IF(R$9="One",One!$D22,IF(R$9="Two",Two!$D22,IF(R$9="Three",Three!$D22,"")))</f>
        <v/>
      </c>
      <c r="S22" s="13" t="str">
        <f>IF(S$9="One",One!$D22,IF(S$9="Two",Two!$D22,IF(S$9="Three",Three!$D22,"")))</f>
        <v/>
      </c>
      <c r="T22" s="13" t="str">
        <f>IF(T$9="One",One!$D22,IF(T$9="Two",Two!$D22,IF(T$9="Three",Three!$D22,"")))</f>
        <v/>
      </c>
      <c r="U22" s="13" t="str">
        <f>IF(U$9="One",One!$D22,IF(U$9="Two",Two!$D22,IF(U$9="Three",Three!$D22,"")))</f>
        <v/>
      </c>
      <c r="V22" s="13" t="str">
        <f>IF(V$9="One",One!$D22,IF(V$9="Two",Two!$D22,IF(V$9="Three",Three!$D22,"")))</f>
        <v/>
      </c>
      <c r="W22" s="13" t="str">
        <f>IF(W$9="One",One!$D22,IF(W$9="Two",Two!$D22,IF(W$9="Three",Three!$D22,"")))</f>
        <v/>
      </c>
    </row>
    <row r="23" spans="1:23">
      <c r="A23" t="s">
        <v>49</v>
      </c>
      <c r="B23" t="s">
        <v>50</v>
      </c>
      <c r="C23" s="12">
        <v>19839573</v>
      </c>
      <c r="D23" s="14">
        <v>0</v>
      </c>
      <c r="E23" s="13" t="str">
        <f>IF(E$9="One",One!$D23,IF(E$9="Two",Two!$D23,IF(E$9="Three",Three!$D23,"")))</f>
        <v/>
      </c>
      <c r="F23" s="13" t="str">
        <f>IF(F$9="One",One!$D23,IF(F$9="Two",Two!$D23,IF(F$9="Three",Three!$D23,"")))</f>
        <v/>
      </c>
      <c r="G23" s="13" t="str">
        <f>IF(G$9="One",One!$D23,IF(G$9="Two",Two!$D23,IF(G$9="Three",Three!$D23,"")))</f>
        <v/>
      </c>
      <c r="H23" s="13" t="str">
        <f>IF(H$9="One",One!$D23,IF(H$9="Two",Two!$D23,IF(H$9="Three",Three!$D23,"")))</f>
        <v/>
      </c>
      <c r="I23" s="13" t="str">
        <f>IF(I$9="One",One!$D23,IF(I$9="Two",Two!$D23,IF(I$9="Three",Three!$D23,"")))</f>
        <v/>
      </c>
      <c r="J23" s="13" t="str">
        <f>IF(J$9="One",One!$D23,IF(J$9="Two",Two!$D23,IF(J$9="Three",Three!$D23,"")))</f>
        <v/>
      </c>
      <c r="K23" s="13" t="str">
        <f>IF(K$9="One",One!$D23,IF(K$9="Two",Two!$D23,IF(K$9="Three",Three!$D23,"")))</f>
        <v/>
      </c>
      <c r="L23" s="13" t="str">
        <f>IF(L$9="One",One!$D23,IF(L$9="Two",Two!$D23,IF(L$9="Three",Three!$D23,"")))</f>
        <v/>
      </c>
      <c r="M23" s="13" t="str">
        <f>IF(M$9="One",One!$D23,IF(M$9="Two",Two!$D23,IF(M$9="Three",Three!$D23,"")))</f>
        <v/>
      </c>
      <c r="N23" s="13" t="str">
        <f>IF(N$9="One",One!$D23,IF(N$9="Two",Two!$D23,IF(N$9="Three",Three!$D23,"")))</f>
        <v/>
      </c>
      <c r="O23" s="13" t="str">
        <f>IF(O$9="One",One!$D23,IF(O$9="Two",Two!$D23,IF(O$9="Three",Three!$D23,"")))</f>
        <v/>
      </c>
      <c r="P23" s="13" t="str">
        <f>IF(P$9="One",One!$D23,IF(P$9="Two",Two!$D23,IF(P$9="Three",Three!$D23,"")))</f>
        <v/>
      </c>
      <c r="Q23" s="13" t="str">
        <f>IF(Q$9="One",One!$D23,IF(Q$9="Two",Two!$D23,IF(Q$9="Three",Three!$D23,"")))</f>
        <v/>
      </c>
      <c r="R23" s="13" t="str">
        <f>IF(R$9="One",One!$D23,IF(R$9="Two",Two!$D23,IF(R$9="Three",Three!$D23,"")))</f>
        <v/>
      </c>
      <c r="S23" s="13" t="str">
        <f>IF(S$9="One",One!$D23,IF(S$9="Two",Two!$D23,IF(S$9="Three",Three!$D23,"")))</f>
        <v/>
      </c>
      <c r="T23" s="13" t="str">
        <f>IF(T$9="One",One!$D23,IF(T$9="Two",Two!$D23,IF(T$9="Three",Three!$D23,"")))</f>
        <v/>
      </c>
      <c r="U23" s="13" t="str">
        <f>IF(U$9="One",One!$D23,IF(U$9="Two",Two!$D23,IF(U$9="Three",Three!$D23,"")))</f>
        <v/>
      </c>
      <c r="V23" s="13" t="str">
        <f>IF(V$9="One",One!$D23,IF(V$9="Two",Two!$D23,IF(V$9="Three",Three!$D23,"")))</f>
        <v/>
      </c>
      <c r="W23" s="13" t="str">
        <f>IF(W$9="One",One!$D23,IF(W$9="Two",Two!$D23,IF(W$9="Three",Three!$D23,"")))</f>
        <v/>
      </c>
    </row>
    <row r="24" spans="1:23">
      <c r="A24" t="s">
        <v>51</v>
      </c>
      <c r="B24" t="s">
        <v>52</v>
      </c>
      <c r="C24" s="12">
        <v>54905777</v>
      </c>
      <c r="D24" s="14">
        <v>0</v>
      </c>
      <c r="E24" s="13" t="str">
        <f>IF(E$9="One",One!$D24,IF(E$9="Two",Two!$D24,IF(E$9="Three",Three!$D24,"")))</f>
        <v/>
      </c>
      <c r="F24" s="13" t="str">
        <f>IF(F$9="One",One!$D24,IF(F$9="Two",Two!$D24,IF(F$9="Three",Three!$D24,"")))</f>
        <v/>
      </c>
      <c r="G24" s="13" t="str">
        <f>IF(G$9="One",One!$D24,IF(G$9="Two",Two!$D24,IF(G$9="Three",Three!$D24,"")))</f>
        <v/>
      </c>
      <c r="H24" s="13" t="str">
        <f>IF(H$9="One",One!$D24,IF(H$9="Two",Two!$D24,IF(H$9="Three",Three!$D24,"")))</f>
        <v/>
      </c>
      <c r="I24" s="13" t="str">
        <f>IF(I$9="One",One!$D24,IF(I$9="Two",Two!$D24,IF(I$9="Three",Three!$D24,"")))</f>
        <v/>
      </c>
      <c r="J24" s="13" t="str">
        <f>IF(J$9="One",One!$D24,IF(J$9="Two",Two!$D24,IF(J$9="Three",Three!$D24,"")))</f>
        <v/>
      </c>
      <c r="K24" s="13" t="str">
        <f>IF(K$9="One",One!$D24,IF(K$9="Two",Two!$D24,IF(K$9="Three",Three!$D24,"")))</f>
        <v/>
      </c>
      <c r="L24" s="13" t="str">
        <f>IF(L$9="One",One!$D24,IF(L$9="Two",Two!$D24,IF(L$9="Three",Three!$D24,"")))</f>
        <v/>
      </c>
      <c r="M24" s="13" t="str">
        <f>IF(M$9="One",One!$D24,IF(M$9="Two",Two!$D24,IF(M$9="Three",Three!$D24,"")))</f>
        <v/>
      </c>
      <c r="N24" s="13" t="str">
        <f>IF(N$9="One",One!$D24,IF(N$9="Two",Two!$D24,IF(N$9="Three",Three!$D24,"")))</f>
        <v/>
      </c>
      <c r="O24" s="13" t="str">
        <f>IF(O$9="One",One!$D24,IF(O$9="Two",Two!$D24,IF(O$9="Three",Three!$D24,"")))</f>
        <v/>
      </c>
      <c r="P24" s="13" t="str">
        <f>IF(P$9="One",One!$D24,IF(P$9="Two",Two!$D24,IF(P$9="Three",Three!$D24,"")))</f>
        <v/>
      </c>
      <c r="Q24" s="13" t="str">
        <f>IF(Q$9="One",One!$D24,IF(Q$9="Two",Two!$D24,IF(Q$9="Three",Three!$D24,"")))</f>
        <v/>
      </c>
      <c r="R24" s="13" t="str">
        <f>IF(R$9="One",One!$D24,IF(R$9="Two",Two!$D24,IF(R$9="Three",Three!$D24,"")))</f>
        <v/>
      </c>
      <c r="S24" s="13" t="str">
        <f>IF(S$9="One",One!$D24,IF(S$9="Two",Two!$D24,IF(S$9="Three",Three!$D24,"")))</f>
        <v/>
      </c>
      <c r="T24" s="13" t="str">
        <f>IF(T$9="One",One!$D24,IF(T$9="Two",Two!$D24,IF(T$9="Three",Three!$D24,"")))</f>
        <v/>
      </c>
      <c r="U24" s="13" t="str">
        <f>IF(U$9="One",One!$D24,IF(U$9="Two",Two!$D24,IF(U$9="Three",Three!$D24,"")))</f>
        <v/>
      </c>
      <c r="V24" s="13" t="str">
        <f>IF(V$9="One",One!$D24,IF(V$9="Two",Two!$D24,IF(V$9="Three",Three!$D24,"")))</f>
        <v/>
      </c>
      <c r="W24" s="13" t="str">
        <f>IF(W$9="One",One!$D24,IF(W$9="Two",Two!$D24,IF(W$9="Three",Three!$D24,"")))</f>
        <v/>
      </c>
    </row>
    <row r="25" spans="1:23">
      <c r="A25" t="s">
        <v>53</v>
      </c>
      <c r="B25" t="s">
        <v>54</v>
      </c>
      <c r="C25" s="12">
        <v>82030077</v>
      </c>
      <c r="D25" s="14">
        <v>0</v>
      </c>
      <c r="E25" s="13" t="str">
        <f>IF(E$9="One",One!$D25,IF(E$9="Two",Two!$D25,IF(E$9="Three",Three!$D25,"")))</f>
        <v/>
      </c>
      <c r="F25" s="13" t="str">
        <f>IF(F$9="One",One!$D25,IF(F$9="Two",Two!$D25,IF(F$9="Three",Three!$D25,"")))</f>
        <v/>
      </c>
      <c r="G25" s="13" t="str">
        <f>IF(G$9="One",One!$D25,IF(G$9="Two",Two!$D25,IF(G$9="Three",Three!$D25,"")))</f>
        <v/>
      </c>
      <c r="H25" s="13" t="str">
        <f>IF(H$9="One",One!$D25,IF(H$9="Two",Two!$D25,IF(H$9="Three",Three!$D25,"")))</f>
        <v/>
      </c>
      <c r="I25" s="13" t="str">
        <f>IF(I$9="One",One!$D25,IF(I$9="Two",Two!$D25,IF(I$9="Three",Three!$D25,"")))</f>
        <v/>
      </c>
      <c r="J25" s="13" t="str">
        <f>IF(J$9="One",One!$D25,IF(J$9="Two",Two!$D25,IF(J$9="Three",Three!$D25,"")))</f>
        <v/>
      </c>
      <c r="K25" s="13" t="str">
        <f>IF(K$9="One",One!$D25,IF(K$9="Two",Two!$D25,IF(K$9="Three",Three!$D25,"")))</f>
        <v/>
      </c>
      <c r="L25" s="13" t="str">
        <f>IF(L$9="One",One!$D25,IF(L$9="Two",Two!$D25,IF(L$9="Three",Three!$D25,"")))</f>
        <v/>
      </c>
      <c r="M25" s="13" t="str">
        <f>IF(M$9="One",One!$D25,IF(M$9="Two",Two!$D25,IF(M$9="Three",Three!$D25,"")))</f>
        <v/>
      </c>
      <c r="N25" s="13" t="str">
        <f>IF(N$9="One",One!$D25,IF(N$9="Two",Two!$D25,IF(N$9="Three",Three!$D25,"")))</f>
        <v/>
      </c>
      <c r="O25" s="13" t="str">
        <f>IF(O$9="One",One!$D25,IF(O$9="Two",Two!$D25,IF(O$9="Three",Three!$D25,"")))</f>
        <v/>
      </c>
      <c r="P25" s="13" t="str">
        <f>IF(P$9="One",One!$D25,IF(P$9="Two",Two!$D25,IF(P$9="Three",Three!$D25,"")))</f>
        <v/>
      </c>
      <c r="Q25" s="13" t="str">
        <f>IF(Q$9="One",One!$D25,IF(Q$9="Two",Two!$D25,IF(Q$9="Three",Three!$D25,"")))</f>
        <v/>
      </c>
      <c r="R25" s="13" t="str">
        <f>IF(R$9="One",One!$D25,IF(R$9="Two",Two!$D25,IF(R$9="Three",Three!$D25,"")))</f>
        <v/>
      </c>
      <c r="S25" s="13" t="str">
        <f>IF(S$9="One",One!$D25,IF(S$9="Two",Two!$D25,IF(S$9="Three",Three!$D25,"")))</f>
        <v/>
      </c>
      <c r="T25" s="13" t="str">
        <f>IF(T$9="One",One!$D25,IF(T$9="Two",Two!$D25,IF(T$9="Three",Three!$D25,"")))</f>
        <v/>
      </c>
      <c r="U25" s="13" t="str">
        <f>IF(U$9="One",One!$D25,IF(U$9="Two",Two!$D25,IF(U$9="Three",Three!$D25,"")))</f>
        <v/>
      </c>
      <c r="V25" s="13" t="str">
        <f>IF(V$9="One",One!$D25,IF(V$9="Two",Two!$D25,IF(V$9="Three",Three!$D25,"")))</f>
        <v/>
      </c>
      <c r="W25" s="13" t="str">
        <f>IF(W$9="One",One!$D25,IF(W$9="Two",Two!$D25,IF(W$9="Three",Three!$D25,"")))</f>
        <v/>
      </c>
    </row>
    <row r="26" spans="1:23">
      <c r="A26" t="s">
        <v>55</v>
      </c>
      <c r="B26" t="s">
        <v>56</v>
      </c>
      <c r="C26" s="12">
        <v>59206627</v>
      </c>
      <c r="D26" s="14">
        <v>0</v>
      </c>
      <c r="E26" s="13" t="str">
        <f>IF(E$9="One",One!$D26,IF(E$9="Two",Two!$D26,IF(E$9="Three",Three!$D26,"")))</f>
        <v/>
      </c>
      <c r="F26" s="13" t="str">
        <f>IF(F$9="One",One!$D26,IF(F$9="Two",Two!$D26,IF(F$9="Three",Three!$D26,"")))</f>
        <v/>
      </c>
      <c r="G26" s="13" t="str">
        <f>IF(G$9="One",One!$D26,IF(G$9="Two",Two!$D26,IF(G$9="Three",Three!$D26,"")))</f>
        <v/>
      </c>
      <c r="H26" s="13" t="str">
        <f>IF(H$9="One",One!$D26,IF(H$9="Two",Two!$D26,IF(H$9="Three",Three!$D26,"")))</f>
        <v/>
      </c>
      <c r="I26" s="13" t="str">
        <f>IF(I$9="One",One!$D26,IF(I$9="Two",Two!$D26,IF(I$9="Three",Three!$D26,"")))</f>
        <v/>
      </c>
      <c r="J26" s="13" t="str">
        <f>IF(J$9="One",One!$D26,IF(J$9="Two",Two!$D26,IF(J$9="Three",Three!$D26,"")))</f>
        <v/>
      </c>
      <c r="K26" s="13" t="str">
        <f>IF(K$9="One",One!$D26,IF(K$9="Two",Two!$D26,IF(K$9="Three",Three!$D26,"")))</f>
        <v/>
      </c>
      <c r="L26" s="13" t="str">
        <f>IF(L$9="One",One!$D26,IF(L$9="Two",Two!$D26,IF(L$9="Three",Three!$D26,"")))</f>
        <v/>
      </c>
      <c r="M26" s="13" t="str">
        <f>IF(M$9="One",One!$D26,IF(M$9="Two",Two!$D26,IF(M$9="Three",Three!$D26,"")))</f>
        <v/>
      </c>
      <c r="N26" s="13" t="str">
        <f>IF(N$9="One",One!$D26,IF(N$9="Two",Two!$D26,IF(N$9="Three",Three!$D26,"")))</f>
        <v/>
      </c>
      <c r="O26" s="13" t="str">
        <f>IF(O$9="One",One!$D26,IF(O$9="Two",Two!$D26,IF(O$9="Three",Three!$D26,"")))</f>
        <v/>
      </c>
      <c r="P26" s="13" t="str">
        <f>IF(P$9="One",One!$D26,IF(P$9="Two",Two!$D26,IF(P$9="Three",Three!$D26,"")))</f>
        <v/>
      </c>
      <c r="Q26" s="13" t="str">
        <f>IF(Q$9="One",One!$D26,IF(Q$9="Two",Two!$D26,IF(Q$9="Three",Three!$D26,"")))</f>
        <v/>
      </c>
      <c r="R26" s="13" t="str">
        <f>IF(R$9="One",One!$D26,IF(R$9="Two",Two!$D26,IF(R$9="Three",Three!$D26,"")))</f>
        <v/>
      </c>
      <c r="S26" s="13" t="str">
        <f>IF(S$9="One",One!$D26,IF(S$9="Two",Two!$D26,IF(S$9="Three",Three!$D26,"")))</f>
        <v/>
      </c>
      <c r="T26" s="13" t="str">
        <f>IF(T$9="One",One!$D26,IF(T$9="Two",Two!$D26,IF(T$9="Three",Three!$D26,"")))</f>
        <v/>
      </c>
      <c r="U26" s="13" t="str">
        <f>IF(U$9="One",One!$D26,IF(U$9="Two",Two!$D26,IF(U$9="Three",Three!$D26,"")))</f>
        <v/>
      </c>
      <c r="V26" s="13" t="str">
        <f>IF(V$9="One",One!$D26,IF(V$9="Two",Two!$D26,IF(V$9="Three",Three!$D26,"")))</f>
        <v/>
      </c>
      <c r="W26" s="13" t="str">
        <f>IF(W$9="One",One!$D26,IF(W$9="Two",Two!$D26,IF(W$9="Three",Three!$D26,"")))</f>
        <v/>
      </c>
    </row>
    <row r="27" spans="1:23">
      <c r="A27" t="s">
        <v>57</v>
      </c>
      <c r="B27" t="s">
        <v>58</v>
      </c>
      <c r="C27" s="12">
        <v>26646083</v>
      </c>
      <c r="D27" s="14">
        <v>0</v>
      </c>
      <c r="E27" s="13" t="str">
        <f>IF(E$9="One",One!$D27,IF(E$9="Two",Two!$D27,IF(E$9="Three",Three!$D27,"")))</f>
        <v/>
      </c>
      <c r="F27" s="13" t="str">
        <f>IF(F$9="One",One!$D27,IF(F$9="Two",Two!$D27,IF(F$9="Three",Three!$D27,"")))</f>
        <v/>
      </c>
      <c r="G27" s="13" t="str">
        <f>IF(G$9="One",One!$D27,IF(G$9="Two",Two!$D27,IF(G$9="Three",Three!$D27,"")))</f>
        <v/>
      </c>
      <c r="H27" s="13" t="str">
        <f>IF(H$9="One",One!$D27,IF(H$9="Two",Two!$D27,IF(H$9="Three",Three!$D27,"")))</f>
        <v/>
      </c>
      <c r="I27" s="13" t="str">
        <f>IF(I$9="One",One!$D27,IF(I$9="Two",Two!$D27,IF(I$9="Three",Three!$D27,"")))</f>
        <v/>
      </c>
      <c r="J27" s="13" t="str">
        <f>IF(J$9="One",One!$D27,IF(J$9="Two",Two!$D27,IF(J$9="Three",Three!$D27,"")))</f>
        <v/>
      </c>
      <c r="K27" s="13" t="str">
        <f>IF(K$9="One",One!$D27,IF(K$9="Two",Two!$D27,IF(K$9="Three",Three!$D27,"")))</f>
        <v/>
      </c>
      <c r="L27" s="13" t="str">
        <f>IF(L$9="One",One!$D27,IF(L$9="Two",Two!$D27,IF(L$9="Three",Three!$D27,"")))</f>
        <v/>
      </c>
      <c r="M27" s="13" t="str">
        <f>IF(M$9="One",One!$D27,IF(M$9="Two",Two!$D27,IF(M$9="Three",Three!$D27,"")))</f>
        <v/>
      </c>
      <c r="N27" s="13" t="str">
        <f>IF(N$9="One",One!$D27,IF(N$9="Two",Two!$D27,IF(N$9="Three",Three!$D27,"")))</f>
        <v/>
      </c>
      <c r="O27" s="13" t="str">
        <f>IF(O$9="One",One!$D27,IF(O$9="Two",Two!$D27,IF(O$9="Three",Three!$D27,"")))</f>
        <v/>
      </c>
      <c r="P27" s="13" t="str">
        <f>IF(P$9="One",One!$D27,IF(P$9="Two",Two!$D27,IF(P$9="Three",Three!$D27,"")))</f>
        <v/>
      </c>
      <c r="Q27" s="13" t="str">
        <f>IF(Q$9="One",One!$D27,IF(Q$9="Two",Two!$D27,IF(Q$9="Three",Three!$D27,"")))</f>
        <v/>
      </c>
      <c r="R27" s="13" t="str">
        <f>IF(R$9="One",One!$D27,IF(R$9="Two",Two!$D27,IF(R$9="Three",Three!$D27,"")))</f>
        <v/>
      </c>
      <c r="S27" s="13" t="str">
        <f>IF(S$9="One",One!$D27,IF(S$9="Two",Two!$D27,IF(S$9="Three",Three!$D27,"")))</f>
        <v/>
      </c>
      <c r="T27" s="13" t="str">
        <f>IF(T$9="One",One!$D27,IF(T$9="Two",Two!$D27,IF(T$9="Three",Three!$D27,"")))</f>
        <v/>
      </c>
      <c r="U27" s="13" t="str">
        <f>IF(U$9="One",One!$D27,IF(U$9="Two",Two!$D27,IF(U$9="Three",Three!$D27,"")))</f>
        <v/>
      </c>
      <c r="V27" s="13" t="str">
        <f>IF(V$9="One",One!$D27,IF(V$9="Two",Two!$D27,IF(V$9="Three",Three!$D27,"")))</f>
        <v/>
      </c>
      <c r="W27" s="13" t="str">
        <f>IF(W$9="One",One!$D27,IF(W$9="Two",Two!$D27,IF(W$9="Three",Three!$D27,"")))</f>
        <v/>
      </c>
    </row>
    <row r="28" spans="1:23">
      <c r="A28" t="s">
        <v>59</v>
      </c>
      <c r="B28" t="s">
        <v>60</v>
      </c>
      <c r="C28" s="12">
        <v>10749714</v>
      </c>
      <c r="D28" s="14">
        <v>0</v>
      </c>
      <c r="E28" s="13" t="str">
        <f>IF(E$9="One",One!$D28,IF(E$9="Two",Two!$D28,IF(E$9="Three",Three!$D28,"")))</f>
        <v/>
      </c>
      <c r="F28" s="13" t="str">
        <f>IF(F$9="One",One!$D28,IF(F$9="Two",Two!$D28,IF(F$9="Three",Three!$D28,"")))</f>
        <v/>
      </c>
      <c r="G28" s="13" t="str">
        <f>IF(G$9="One",One!$D28,IF(G$9="Two",Two!$D28,IF(G$9="Three",Three!$D28,"")))</f>
        <v/>
      </c>
      <c r="H28" s="13" t="str">
        <f>IF(H$9="One",One!$D28,IF(H$9="Two",Two!$D28,IF(H$9="Three",Three!$D28,"")))</f>
        <v/>
      </c>
      <c r="I28" s="13" t="str">
        <f>IF(I$9="One",One!$D28,IF(I$9="Two",Two!$D28,IF(I$9="Three",Three!$D28,"")))</f>
        <v/>
      </c>
      <c r="J28" s="13" t="str">
        <f>IF(J$9="One",One!$D28,IF(J$9="Two",Two!$D28,IF(J$9="Three",Three!$D28,"")))</f>
        <v/>
      </c>
      <c r="K28" s="13" t="str">
        <f>IF(K$9="One",One!$D28,IF(K$9="Two",Two!$D28,IF(K$9="Three",Three!$D28,"")))</f>
        <v/>
      </c>
      <c r="L28" s="13" t="str">
        <f>IF(L$9="One",One!$D28,IF(L$9="Two",Two!$D28,IF(L$9="Three",Three!$D28,"")))</f>
        <v/>
      </c>
      <c r="M28" s="13" t="str">
        <f>IF(M$9="One",One!$D28,IF(M$9="Two",Two!$D28,IF(M$9="Three",Three!$D28,"")))</f>
        <v/>
      </c>
      <c r="N28" s="13" t="str">
        <f>IF(N$9="One",One!$D28,IF(N$9="Two",Two!$D28,IF(N$9="Three",Three!$D28,"")))</f>
        <v/>
      </c>
      <c r="O28" s="13" t="str">
        <f>IF(O$9="One",One!$D28,IF(O$9="Two",Two!$D28,IF(O$9="Three",Three!$D28,"")))</f>
        <v/>
      </c>
      <c r="P28" s="13" t="str">
        <f>IF(P$9="One",One!$D28,IF(P$9="Two",Two!$D28,IF(P$9="Three",Three!$D28,"")))</f>
        <v/>
      </c>
      <c r="Q28" s="13" t="str">
        <f>IF(Q$9="One",One!$D28,IF(Q$9="Two",Two!$D28,IF(Q$9="Three",Three!$D28,"")))</f>
        <v/>
      </c>
      <c r="R28" s="13" t="str">
        <f>IF(R$9="One",One!$D28,IF(R$9="Two",Two!$D28,IF(R$9="Three",Three!$D28,"")))</f>
        <v/>
      </c>
      <c r="S28" s="13" t="str">
        <f>IF(S$9="One",One!$D28,IF(S$9="Two",Two!$D28,IF(S$9="Three",Three!$D28,"")))</f>
        <v/>
      </c>
      <c r="T28" s="13" t="str">
        <f>IF(T$9="One",One!$D28,IF(T$9="Two",Two!$D28,IF(T$9="Three",Three!$D28,"")))</f>
        <v/>
      </c>
      <c r="U28" s="13" t="str">
        <f>IF(U$9="One",One!$D28,IF(U$9="Two",Two!$D28,IF(U$9="Three",Three!$D28,"")))</f>
        <v/>
      </c>
      <c r="V28" s="13" t="str">
        <f>IF(V$9="One",One!$D28,IF(V$9="Two",Two!$D28,IF(V$9="Three",Three!$D28,"")))</f>
        <v/>
      </c>
      <c r="W28" s="13" t="str">
        <f>IF(W$9="One",One!$D28,IF(W$9="Two",Two!$D28,IF(W$9="Three",Three!$D28,"")))</f>
        <v/>
      </c>
    </row>
    <row r="29" spans="1:23">
      <c r="A29" t="s">
        <v>61</v>
      </c>
      <c r="B29" t="s">
        <v>62</v>
      </c>
      <c r="C29" s="12">
        <v>23994145</v>
      </c>
      <c r="D29" s="14">
        <v>0</v>
      </c>
      <c r="E29" s="13" t="str">
        <f>IF(E$9="One",One!$D29,IF(E$9="Two",Two!$D29,IF(E$9="Three",Three!$D29,"")))</f>
        <v/>
      </c>
      <c r="F29" s="13" t="str">
        <f>IF(F$9="One",One!$D29,IF(F$9="Two",Two!$D29,IF(F$9="Three",Three!$D29,"")))</f>
        <v/>
      </c>
      <c r="G29" s="13" t="str">
        <f>IF(G$9="One",One!$D29,IF(G$9="Two",Two!$D29,IF(G$9="Three",Three!$D29,"")))</f>
        <v/>
      </c>
      <c r="H29" s="13" t="str">
        <f>IF(H$9="One",One!$D29,IF(H$9="Two",Two!$D29,IF(H$9="Three",Three!$D29,"")))</f>
        <v/>
      </c>
      <c r="I29" s="13" t="str">
        <f>IF(I$9="One",One!$D29,IF(I$9="Two",Two!$D29,IF(I$9="Three",Three!$D29,"")))</f>
        <v/>
      </c>
      <c r="J29" s="13" t="str">
        <f>IF(J$9="One",One!$D29,IF(J$9="Two",Two!$D29,IF(J$9="Three",Three!$D29,"")))</f>
        <v/>
      </c>
      <c r="K29" s="13" t="str">
        <f>IF(K$9="One",One!$D29,IF(K$9="Two",Two!$D29,IF(K$9="Three",Three!$D29,"")))</f>
        <v/>
      </c>
      <c r="L29" s="13" t="str">
        <f>IF(L$9="One",One!$D29,IF(L$9="Two",Two!$D29,IF(L$9="Three",Three!$D29,"")))</f>
        <v/>
      </c>
      <c r="M29" s="13" t="str">
        <f>IF(M$9="One",One!$D29,IF(M$9="Two",Two!$D29,IF(M$9="Three",Three!$D29,"")))</f>
        <v/>
      </c>
      <c r="N29" s="13" t="str">
        <f>IF(N$9="One",One!$D29,IF(N$9="Two",Two!$D29,IF(N$9="Three",Three!$D29,"")))</f>
        <v/>
      </c>
      <c r="O29" s="13" t="str">
        <f>IF(O$9="One",One!$D29,IF(O$9="Two",Two!$D29,IF(O$9="Three",Three!$D29,"")))</f>
        <v/>
      </c>
      <c r="P29" s="13" t="str">
        <f>IF(P$9="One",One!$D29,IF(P$9="Two",Two!$D29,IF(P$9="Three",Three!$D29,"")))</f>
        <v/>
      </c>
      <c r="Q29" s="13" t="str">
        <f>IF(Q$9="One",One!$D29,IF(Q$9="Two",Two!$D29,IF(Q$9="Three",Three!$D29,"")))</f>
        <v/>
      </c>
      <c r="R29" s="13" t="str">
        <f>IF(R$9="One",One!$D29,IF(R$9="Two",Two!$D29,IF(R$9="Three",Three!$D29,"")))</f>
        <v/>
      </c>
      <c r="S29" s="13" t="str">
        <f>IF(S$9="One",One!$D29,IF(S$9="Two",Two!$D29,IF(S$9="Three",Three!$D29,"")))</f>
        <v/>
      </c>
      <c r="T29" s="13" t="str">
        <f>IF(T$9="One",One!$D29,IF(T$9="Two",Two!$D29,IF(T$9="Three",Three!$D29,"")))</f>
        <v/>
      </c>
      <c r="U29" s="13" t="str">
        <f>IF(U$9="One",One!$D29,IF(U$9="Two",Two!$D29,IF(U$9="Three",Three!$D29,"")))</f>
        <v/>
      </c>
      <c r="V29" s="13" t="str">
        <f>IF(V$9="One",One!$D29,IF(V$9="Two",Two!$D29,IF(V$9="Three",Three!$D29,"")))</f>
        <v/>
      </c>
      <c r="W29" s="13" t="str">
        <f>IF(W$9="One",One!$D29,IF(W$9="Two",Two!$D29,IF(W$9="Three",Three!$D29,"")))</f>
        <v/>
      </c>
    </row>
    <row r="30" spans="1:23">
      <c r="A30" t="s">
        <v>63</v>
      </c>
      <c r="B30" t="s">
        <v>64</v>
      </c>
      <c r="C30" s="12">
        <v>61955455</v>
      </c>
      <c r="D30" s="14">
        <v>0</v>
      </c>
      <c r="E30" s="13" t="str">
        <f>IF(E$9="One",One!$D30,IF(E$9="Two",Two!$D30,IF(E$9="Three",Three!$D30,"")))</f>
        <v/>
      </c>
      <c r="F30" s="13" t="str">
        <f>IF(F$9="One",One!$D30,IF(F$9="Two",Two!$D30,IF(F$9="Three",Three!$D30,"")))</f>
        <v/>
      </c>
      <c r="G30" s="13" t="str">
        <f>IF(G$9="One",One!$D30,IF(G$9="Two",Two!$D30,IF(G$9="Three",Three!$D30,"")))</f>
        <v/>
      </c>
      <c r="H30" s="13" t="str">
        <f>IF(H$9="One",One!$D30,IF(H$9="Two",Two!$D30,IF(H$9="Three",Three!$D30,"")))</f>
        <v/>
      </c>
      <c r="I30" s="13" t="str">
        <f>IF(I$9="One",One!$D30,IF(I$9="Two",Two!$D30,IF(I$9="Three",Three!$D30,"")))</f>
        <v/>
      </c>
      <c r="J30" s="13" t="str">
        <f>IF(J$9="One",One!$D30,IF(J$9="Two",Two!$D30,IF(J$9="Three",Three!$D30,"")))</f>
        <v/>
      </c>
      <c r="K30" s="13" t="str">
        <f>IF(K$9="One",One!$D30,IF(K$9="Two",Two!$D30,IF(K$9="Three",Three!$D30,"")))</f>
        <v/>
      </c>
      <c r="L30" s="13" t="str">
        <f>IF(L$9="One",One!$D30,IF(L$9="Two",Two!$D30,IF(L$9="Three",Three!$D30,"")))</f>
        <v/>
      </c>
      <c r="M30" s="13" t="str">
        <f>IF(M$9="One",One!$D30,IF(M$9="Two",Two!$D30,IF(M$9="Three",Three!$D30,"")))</f>
        <v/>
      </c>
      <c r="N30" s="13" t="str">
        <f>IF(N$9="One",One!$D30,IF(N$9="Two",Two!$D30,IF(N$9="Three",Three!$D30,"")))</f>
        <v/>
      </c>
      <c r="O30" s="13" t="str">
        <f>IF(O$9="One",One!$D30,IF(O$9="Two",Two!$D30,IF(O$9="Three",Three!$D30,"")))</f>
        <v/>
      </c>
      <c r="P30" s="13" t="str">
        <f>IF(P$9="One",One!$D30,IF(P$9="Two",Two!$D30,IF(P$9="Three",Three!$D30,"")))</f>
        <v/>
      </c>
      <c r="Q30" s="13" t="str">
        <f>IF(Q$9="One",One!$D30,IF(Q$9="Two",Two!$D30,IF(Q$9="Three",Three!$D30,"")))</f>
        <v/>
      </c>
      <c r="R30" s="13" t="str">
        <f>IF(R$9="One",One!$D30,IF(R$9="Two",Two!$D30,IF(R$9="Three",Three!$D30,"")))</f>
        <v/>
      </c>
      <c r="S30" s="13" t="str">
        <f>IF(S$9="One",One!$D30,IF(S$9="Two",Two!$D30,IF(S$9="Three",Three!$D30,"")))</f>
        <v/>
      </c>
      <c r="T30" s="13" t="str">
        <f>IF(T$9="One",One!$D30,IF(T$9="Two",Two!$D30,IF(T$9="Three",Three!$D30,"")))</f>
        <v/>
      </c>
      <c r="U30" s="13" t="str">
        <f>IF(U$9="One",One!$D30,IF(U$9="Two",Two!$D30,IF(U$9="Three",Three!$D30,"")))</f>
        <v/>
      </c>
      <c r="V30" s="13" t="str">
        <f>IF(V$9="One",One!$D30,IF(V$9="Two",Two!$D30,IF(V$9="Three",Three!$D30,"")))</f>
        <v/>
      </c>
      <c r="W30" s="13" t="str">
        <f>IF(W$9="One",One!$D30,IF(W$9="Two",Two!$D30,IF(W$9="Three",Three!$D30,"")))</f>
        <v/>
      </c>
    </row>
    <row r="31" spans="1:23">
      <c r="A31" t="s">
        <v>65</v>
      </c>
      <c r="B31" t="s">
        <v>66</v>
      </c>
      <c r="C31" s="12">
        <v>21290182</v>
      </c>
      <c r="D31" s="14">
        <v>0</v>
      </c>
      <c r="E31" s="13" t="str">
        <f>IF(E$9="One",One!$D31,IF(E$9="Two",Two!$D31,IF(E$9="Three",Three!$D31,"")))</f>
        <v/>
      </c>
      <c r="F31" s="13" t="str">
        <f>IF(F$9="One",One!$D31,IF(F$9="Two",Two!$D31,IF(F$9="Three",Three!$D31,"")))</f>
        <v/>
      </c>
      <c r="G31" s="13" t="str">
        <f>IF(G$9="One",One!$D31,IF(G$9="Two",Two!$D31,IF(G$9="Three",Three!$D31,"")))</f>
        <v/>
      </c>
      <c r="H31" s="13" t="str">
        <f>IF(H$9="One",One!$D31,IF(H$9="Two",Two!$D31,IF(H$9="Three",Three!$D31,"")))</f>
        <v/>
      </c>
      <c r="I31" s="13" t="str">
        <f>IF(I$9="One",One!$D31,IF(I$9="Two",Two!$D31,IF(I$9="Three",Three!$D31,"")))</f>
        <v/>
      </c>
      <c r="J31" s="13" t="str">
        <f>IF(J$9="One",One!$D31,IF(J$9="Two",Two!$D31,IF(J$9="Three",Three!$D31,"")))</f>
        <v/>
      </c>
      <c r="K31" s="13" t="str">
        <f>IF(K$9="One",One!$D31,IF(K$9="Two",Two!$D31,IF(K$9="Three",Three!$D31,"")))</f>
        <v/>
      </c>
      <c r="L31" s="13" t="str">
        <f>IF(L$9="One",One!$D31,IF(L$9="Two",Two!$D31,IF(L$9="Three",Three!$D31,"")))</f>
        <v/>
      </c>
      <c r="M31" s="13" t="str">
        <f>IF(M$9="One",One!$D31,IF(M$9="Two",Two!$D31,IF(M$9="Three",Three!$D31,"")))</f>
        <v/>
      </c>
      <c r="N31" s="13" t="str">
        <f>IF(N$9="One",One!$D31,IF(N$9="Two",Two!$D31,IF(N$9="Three",Three!$D31,"")))</f>
        <v/>
      </c>
      <c r="O31" s="13" t="str">
        <f>IF(O$9="One",One!$D31,IF(O$9="Two",Two!$D31,IF(O$9="Three",Three!$D31,"")))</f>
        <v/>
      </c>
      <c r="P31" s="13" t="str">
        <f>IF(P$9="One",One!$D31,IF(P$9="Two",Two!$D31,IF(P$9="Three",Three!$D31,"")))</f>
        <v/>
      </c>
      <c r="Q31" s="13" t="str">
        <f>IF(Q$9="One",One!$D31,IF(Q$9="Two",Two!$D31,IF(Q$9="Three",Three!$D31,"")))</f>
        <v/>
      </c>
      <c r="R31" s="13" t="str">
        <f>IF(R$9="One",One!$D31,IF(R$9="Two",Two!$D31,IF(R$9="Three",Three!$D31,"")))</f>
        <v/>
      </c>
      <c r="S31" s="13" t="str">
        <f>IF(S$9="One",One!$D31,IF(S$9="Two",Two!$D31,IF(S$9="Three",Three!$D31,"")))</f>
        <v/>
      </c>
      <c r="T31" s="13" t="str">
        <f>IF(T$9="One",One!$D31,IF(T$9="Two",Two!$D31,IF(T$9="Three",Three!$D31,"")))</f>
        <v/>
      </c>
      <c r="U31" s="13" t="str">
        <f>IF(U$9="One",One!$D31,IF(U$9="Two",Two!$D31,IF(U$9="Three",Three!$D31,"")))</f>
        <v/>
      </c>
      <c r="V31" s="13" t="str">
        <f>IF(V$9="One",One!$D31,IF(V$9="Two",Two!$D31,IF(V$9="Three",Three!$D31,"")))</f>
        <v/>
      </c>
      <c r="W31" s="13" t="str">
        <f>IF(W$9="One",One!$D31,IF(W$9="Two",Two!$D31,IF(W$9="Three",Three!$D31,"")))</f>
        <v/>
      </c>
    </row>
    <row r="32" spans="1:23">
      <c r="A32" t="s">
        <v>67</v>
      </c>
      <c r="B32" t="s">
        <v>68</v>
      </c>
      <c r="C32" s="12">
        <v>5565200</v>
      </c>
      <c r="D32" s="14">
        <v>0</v>
      </c>
      <c r="E32" s="13" t="str">
        <f>IF(E$9="One",One!$D32,IF(E$9="Two",Two!$D32,IF(E$9="Three",Three!$D32,"")))</f>
        <v/>
      </c>
      <c r="F32" s="13" t="str">
        <f>IF(F$9="One",One!$D32,IF(F$9="Two",Two!$D32,IF(F$9="Three",Three!$D32,"")))</f>
        <v/>
      </c>
      <c r="G32" s="13" t="str">
        <f>IF(G$9="One",One!$D32,IF(G$9="Two",Two!$D32,IF(G$9="Three",Three!$D32,"")))</f>
        <v/>
      </c>
      <c r="H32" s="13" t="str">
        <f>IF(H$9="One",One!$D32,IF(H$9="Two",Two!$D32,IF(H$9="Three",Three!$D32,"")))</f>
        <v/>
      </c>
      <c r="I32" s="13" t="str">
        <f>IF(I$9="One",One!$D32,IF(I$9="Two",Two!$D32,IF(I$9="Three",Three!$D32,"")))</f>
        <v/>
      </c>
      <c r="J32" s="13" t="str">
        <f>IF(J$9="One",One!$D32,IF(J$9="Two",Two!$D32,IF(J$9="Three",Three!$D32,"")))</f>
        <v/>
      </c>
      <c r="K32" s="13" t="str">
        <f>IF(K$9="One",One!$D32,IF(K$9="Two",Two!$D32,IF(K$9="Three",Three!$D32,"")))</f>
        <v/>
      </c>
      <c r="L32" s="13" t="str">
        <f>IF(L$9="One",One!$D32,IF(L$9="Two",Two!$D32,IF(L$9="Three",Three!$D32,"")))</f>
        <v/>
      </c>
      <c r="M32" s="13" t="str">
        <f>IF(M$9="One",One!$D32,IF(M$9="Two",Two!$D32,IF(M$9="Three",Three!$D32,"")))</f>
        <v/>
      </c>
      <c r="N32" s="13" t="str">
        <f>IF(N$9="One",One!$D32,IF(N$9="Two",Two!$D32,IF(N$9="Three",Three!$D32,"")))</f>
        <v/>
      </c>
      <c r="O32" s="13" t="str">
        <f>IF(O$9="One",One!$D32,IF(O$9="Two",Two!$D32,IF(O$9="Three",Three!$D32,"")))</f>
        <v/>
      </c>
      <c r="P32" s="13" t="str">
        <f>IF(P$9="One",One!$D32,IF(P$9="Two",Two!$D32,IF(P$9="Three",Three!$D32,"")))</f>
        <v/>
      </c>
      <c r="Q32" s="13" t="str">
        <f>IF(Q$9="One",One!$D32,IF(Q$9="Two",Two!$D32,IF(Q$9="Three",Three!$D32,"")))</f>
        <v/>
      </c>
      <c r="R32" s="13" t="str">
        <f>IF(R$9="One",One!$D32,IF(R$9="Two",Two!$D32,IF(R$9="Three",Three!$D32,"")))</f>
        <v/>
      </c>
      <c r="S32" s="13" t="str">
        <f>IF(S$9="One",One!$D32,IF(S$9="Two",Two!$D32,IF(S$9="Three",Three!$D32,"")))</f>
        <v/>
      </c>
      <c r="T32" s="13" t="str">
        <f>IF(T$9="One",One!$D32,IF(T$9="Two",Two!$D32,IF(T$9="Three",Three!$D32,"")))</f>
        <v/>
      </c>
      <c r="U32" s="13" t="str">
        <f>IF(U$9="One",One!$D32,IF(U$9="Two",Two!$D32,IF(U$9="Three",Three!$D32,"")))</f>
        <v/>
      </c>
      <c r="V32" s="13" t="str">
        <f>IF(V$9="One",One!$D32,IF(V$9="Two",Two!$D32,IF(V$9="Three",Three!$D32,"")))</f>
        <v/>
      </c>
      <c r="W32" s="13" t="str">
        <f>IF(W$9="One",One!$D32,IF(W$9="Two",Two!$D32,IF(W$9="Three",Three!$D32,"")))</f>
        <v/>
      </c>
    </row>
    <row r="33" spans="1:23">
      <c r="A33" t="s">
        <v>69</v>
      </c>
      <c r="B33" t="s">
        <v>70</v>
      </c>
      <c r="C33" s="12">
        <v>13812850</v>
      </c>
      <c r="D33" s="14">
        <v>0</v>
      </c>
      <c r="E33" s="13" t="str">
        <f>IF(E$9="One",One!$D33,IF(E$9="Two",Two!$D33,IF(E$9="Three",Three!$D33,"")))</f>
        <v/>
      </c>
      <c r="F33" s="13" t="str">
        <f>IF(F$9="One",One!$D33,IF(F$9="Two",Two!$D33,IF(F$9="Three",Three!$D33,"")))</f>
        <v/>
      </c>
      <c r="G33" s="13" t="str">
        <f>IF(G$9="One",One!$D33,IF(G$9="Two",Two!$D33,IF(G$9="Three",Three!$D33,"")))</f>
        <v/>
      </c>
      <c r="H33" s="13" t="str">
        <f>IF(H$9="One",One!$D33,IF(H$9="Two",Two!$D33,IF(H$9="Three",Three!$D33,"")))</f>
        <v/>
      </c>
      <c r="I33" s="13" t="str">
        <f>IF(I$9="One",One!$D33,IF(I$9="Two",Two!$D33,IF(I$9="Three",Three!$D33,"")))</f>
        <v/>
      </c>
      <c r="J33" s="13" t="str">
        <f>IF(J$9="One",One!$D33,IF(J$9="Two",Two!$D33,IF(J$9="Three",Three!$D33,"")))</f>
        <v/>
      </c>
      <c r="K33" s="13" t="str">
        <f>IF(K$9="One",One!$D33,IF(K$9="Two",Two!$D33,IF(K$9="Three",Three!$D33,"")))</f>
        <v/>
      </c>
      <c r="L33" s="13" t="str">
        <f>IF(L$9="One",One!$D33,IF(L$9="Two",Two!$D33,IF(L$9="Three",Three!$D33,"")))</f>
        <v/>
      </c>
      <c r="M33" s="13" t="str">
        <f>IF(M$9="One",One!$D33,IF(M$9="Two",Two!$D33,IF(M$9="Three",Three!$D33,"")))</f>
        <v/>
      </c>
      <c r="N33" s="13" t="str">
        <f>IF(N$9="One",One!$D33,IF(N$9="Two",Two!$D33,IF(N$9="Three",Three!$D33,"")))</f>
        <v/>
      </c>
      <c r="O33" s="13" t="str">
        <f>IF(O$9="One",One!$D33,IF(O$9="Two",Two!$D33,IF(O$9="Three",Three!$D33,"")))</f>
        <v/>
      </c>
      <c r="P33" s="13" t="str">
        <f>IF(P$9="One",One!$D33,IF(P$9="Two",Two!$D33,IF(P$9="Three",Three!$D33,"")))</f>
        <v/>
      </c>
      <c r="Q33" s="13" t="str">
        <f>IF(Q$9="One",One!$D33,IF(Q$9="Two",Two!$D33,IF(Q$9="Three",Three!$D33,"")))</f>
        <v/>
      </c>
      <c r="R33" s="13" t="str">
        <f>IF(R$9="One",One!$D33,IF(R$9="Two",Two!$D33,IF(R$9="Three",Three!$D33,"")))</f>
        <v/>
      </c>
      <c r="S33" s="13" t="str">
        <f>IF(S$9="One",One!$D33,IF(S$9="Two",Two!$D33,IF(S$9="Three",Three!$D33,"")))</f>
        <v/>
      </c>
      <c r="T33" s="13" t="str">
        <f>IF(T$9="One",One!$D33,IF(T$9="Two",Two!$D33,IF(T$9="Three",Three!$D33,"")))</f>
        <v/>
      </c>
      <c r="U33" s="13" t="str">
        <f>IF(U$9="One",One!$D33,IF(U$9="Two",Two!$D33,IF(U$9="Three",Three!$D33,"")))</f>
        <v/>
      </c>
      <c r="V33" s="13" t="str">
        <f>IF(V$9="One",One!$D33,IF(V$9="Two",Two!$D33,IF(V$9="Three",Three!$D33,"")))</f>
        <v/>
      </c>
      <c r="W33" s="13" t="str">
        <f>IF(W$9="One",One!$D33,IF(W$9="Two",Two!$D33,IF(W$9="Three",Three!$D33,"")))</f>
        <v/>
      </c>
    </row>
    <row r="34" spans="1:23">
      <c r="A34" t="s">
        <v>71</v>
      </c>
      <c r="B34" t="s">
        <v>72</v>
      </c>
      <c r="C34" s="12">
        <v>39654039</v>
      </c>
      <c r="D34" s="14">
        <v>0</v>
      </c>
      <c r="E34" s="13" t="str">
        <f>IF(E$9="One",One!$D34,IF(E$9="Two",Two!$D34,IF(E$9="Three",Three!$D34,"")))</f>
        <v/>
      </c>
      <c r="F34" s="13" t="str">
        <f>IF(F$9="One",One!$D34,IF(F$9="Two",Two!$D34,IF(F$9="Three",Three!$D34,"")))</f>
        <v/>
      </c>
      <c r="G34" s="13" t="str">
        <f>IF(G$9="One",One!$D34,IF(G$9="Two",Two!$D34,IF(G$9="Three",Three!$D34,"")))</f>
        <v/>
      </c>
      <c r="H34" s="13" t="str">
        <f>IF(H$9="One",One!$D34,IF(H$9="Two",Two!$D34,IF(H$9="Three",Three!$D34,"")))</f>
        <v/>
      </c>
      <c r="I34" s="13" t="str">
        <f>IF(I$9="One",One!$D34,IF(I$9="Two",Two!$D34,IF(I$9="Three",Three!$D34,"")))</f>
        <v/>
      </c>
      <c r="J34" s="13" t="str">
        <f>IF(J$9="One",One!$D34,IF(J$9="Two",Two!$D34,IF(J$9="Three",Three!$D34,"")))</f>
        <v/>
      </c>
      <c r="K34" s="13" t="str">
        <f>IF(K$9="One",One!$D34,IF(K$9="Two",Two!$D34,IF(K$9="Three",Three!$D34,"")))</f>
        <v/>
      </c>
      <c r="L34" s="13" t="str">
        <f>IF(L$9="One",One!$D34,IF(L$9="Two",Two!$D34,IF(L$9="Three",Three!$D34,"")))</f>
        <v/>
      </c>
      <c r="M34" s="13" t="str">
        <f>IF(M$9="One",One!$D34,IF(M$9="Two",Two!$D34,IF(M$9="Three",Three!$D34,"")))</f>
        <v/>
      </c>
      <c r="N34" s="13" t="str">
        <f>IF(N$9="One",One!$D34,IF(N$9="Two",Two!$D34,IF(N$9="Three",Three!$D34,"")))</f>
        <v/>
      </c>
      <c r="O34" s="13" t="str">
        <f>IF(O$9="One",One!$D34,IF(O$9="Two",Two!$D34,IF(O$9="Three",Three!$D34,"")))</f>
        <v/>
      </c>
      <c r="P34" s="13" t="str">
        <f>IF(P$9="One",One!$D34,IF(P$9="Two",Two!$D34,IF(P$9="Three",Three!$D34,"")))</f>
        <v/>
      </c>
      <c r="Q34" s="13" t="str">
        <f>IF(Q$9="One",One!$D34,IF(Q$9="Two",Two!$D34,IF(Q$9="Three",Three!$D34,"")))</f>
        <v/>
      </c>
      <c r="R34" s="13" t="str">
        <f>IF(R$9="One",One!$D34,IF(R$9="Two",Two!$D34,IF(R$9="Three",Three!$D34,"")))</f>
        <v/>
      </c>
      <c r="S34" s="13" t="str">
        <f>IF(S$9="One",One!$D34,IF(S$9="Two",Two!$D34,IF(S$9="Three",Three!$D34,"")))</f>
        <v/>
      </c>
      <c r="T34" s="13" t="str">
        <f>IF(T$9="One",One!$D34,IF(T$9="Two",Two!$D34,IF(T$9="Three",Three!$D34,"")))</f>
        <v/>
      </c>
      <c r="U34" s="13" t="str">
        <f>IF(U$9="One",One!$D34,IF(U$9="Two",Two!$D34,IF(U$9="Three",Three!$D34,"")))</f>
        <v/>
      </c>
      <c r="V34" s="13" t="str">
        <f>IF(V$9="One",One!$D34,IF(V$9="Two",Two!$D34,IF(V$9="Three",Three!$D34,"")))</f>
        <v/>
      </c>
      <c r="W34" s="13" t="str">
        <f>IF(W$9="One",One!$D34,IF(W$9="Two",Two!$D34,IF(W$9="Three",Three!$D34,"")))</f>
        <v/>
      </c>
    </row>
    <row r="35" spans="1:23">
      <c r="A35" t="s">
        <v>73</v>
      </c>
      <c r="B35" t="s">
        <v>74</v>
      </c>
      <c r="C35" s="12">
        <v>15886570</v>
      </c>
      <c r="D35" s="14">
        <v>0</v>
      </c>
      <c r="E35" s="13" t="str">
        <f>IF(E$9="One",One!$D35,IF(E$9="Two",Two!$D35,IF(E$9="Three",Three!$D35,"")))</f>
        <v/>
      </c>
      <c r="F35" s="13" t="str">
        <f>IF(F$9="One",One!$D35,IF(F$9="Two",Two!$D35,IF(F$9="Three",Three!$D35,"")))</f>
        <v/>
      </c>
      <c r="G35" s="13" t="str">
        <f>IF(G$9="One",One!$D35,IF(G$9="Two",Two!$D35,IF(G$9="Three",Three!$D35,"")))</f>
        <v/>
      </c>
      <c r="H35" s="13" t="str">
        <f>IF(H$9="One",One!$D35,IF(H$9="Two",Two!$D35,IF(H$9="Three",Three!$D35,"")))</f>
        <v/>
      </c>
      <c r="I35" s="13" t="str">
        <f>IF(I$9="One",One!$D35,IF(I$9="Two",Two!$D35,IF(I$9="Three",Three!$D35,"")))</f>
        <v/>
      </c>
      <c r="J35" s="13" t="str">
        <f>IF(J$9="One",One!$D35,IF(J$9="Two",Two!$D35,IF(J$9="Three",Three!$D35,"")))</f>
        <v/>
      </c>
      <c r="K35" s="13" t="str">
        <f>IF(K$9="One",One!$D35,IF(K$9="Two",Two!$D35,IF(K$9="Three",Three!$D35,"")))</f>
        <v/>
      </c>
      <c r="L35" s="13" t="str">
        <f>IF(L$9="One",One!$D35,IF(L$9="Two",Two!$D35,IF(L$9="Three",Three!$D35,"")))</f>
        <v/>
      </c>
      <c r="M35" s="13" t="str">
        <f>IF(M$9="One",One!$D35,IF(M$9="Two",Two!$D35,IF(M$9="Three",Three!$D35,"")))</f>
        <v/>
      </c>
      <c r="N35" s="13" t="str">
        <f>IF(N$9="One",One!$D35,IF(N$9="Two",Two!$D35,IF(N$9="Three",Three!$D35,"")))</f>
        <v/>
      </c>
      <c r="O35" s="13" t="str">
        <f>IF(O$9="One",One!$D35,IF(O$9="Two",Two!$D35,IF(O$9="Three",Three!$D35,"")))</f>
        <v/>
      </c>
      <c r="P35" s="13" t="str">
        <f>IF(P$9="One",One!$D35,IF(P$9="Two",Two!$D35,IF(P$9="Three",Three!$D35,"")))</f>
        <v/>
      </c>
      <c r="Q35" s="13" t="str">
        <f>IF(Q$9="One",One!$D35,IF(Q$9="Two",Two!$D35,IF(Q$9="Three",Three!$D35,"")))</f>
        <v/>
      </c>
      <c r="R35" s="13" t="str">
        <f>IF(R$9="One",One!$D35,IF(R$9="Two",Two!$D35,IF(R$9="Three",Three!$D35,"")))</f>
        <v/>
      </c>
      <c r="S35" s="13" t="str">
        <f>IF(S$9="One",One!$D35,IF(S$9="Two",Two!$D35,IF(S$9="Three",Three!$D35,"")))</f>
        <v/>
      </c>
      <c r="T35" s="13" t="str">
        <f>IF(T$9="One",One!$D35,IF(T$9="Two",Two!$D35,IF(T$9="Three",Three!$D35,"")))</f>
        <v/>
      </c>
      <c r="U35" s="13" t="str">
        <f>IF(U$9="One",One!$D35,IF(U$9="Two",Two!$D35,IF(U$9="Three",Three!$D35,"")))</f>
        <v/>
      </c>
      <c r="V35" s="13" t="str">
        <f>IF(V$9="One",One!$D35,IF(V$9="Two",Two!$D35,IF(V$9="Three",Three!$D35,"")))</f>
        <v/>
      </c>
      <c r="W35" s="13" t="str">
        <f>IF(W$9="One",One!$D35,IF(W$9="Two",Two!$D35,IF(W$9="Three",Three!$D35,"")))</f>
        <v/>
      </c>
    </row>
    <row r="36" spans="1:23">
      <c r="A36" t="s">
        <v>75</v>
      </c>
      <c r="B36" t="s">
        <v>76</v>
      </c>
      <c r="C36" s="12">
        <v>15162223</v>
      </c>
      <c r="D36" s="14">
        <v>0</v>
      </c>
      <c r="E36" s="13" t="str">
        <f>IF(E$9="One",One!$D36,IF(E$9="Two",Two!$D36,IF(E$9="Three",Three!$D36,"")))</f>
        <v/>
      </c>
      <c r="F36" s="13" t="str">
        <f>IF(F$9="One",One!$D36,IF(F$9="Two",Two!$D36,IF(F$9="Three",Three!$D36,"")))</f>
        <v/>
      </c>
      <c r="G36" s="13" t="str">
        <f>IF(G$9="One",One!$D36,IF(G$9="Two",Two!$D36,IF(G$9="Three",Three!$D36,"")))</f>
        <v/>
      </c>
      <c r="H36" s="13" t="str">
        <f>IF(H$9="One",One!$D36,IF(H$9="Two",Two!$D36,IF(H$9="Three",Three!$D36,"")))</f>
        <v/>
      </c>
      <c r="I36" s="13" t="str">
        <f>IF(I$9="One",One!$D36,IF(I$9="Two",Two!$D36,IF(I$9="Three",Three!$D36,"")))</f>
        <v/>
      </c>
      <c r="J36" s="13" t="str">
        <f>IF(J$9="One",One!$D36,IF(J$9="Two",Two!$D36,IF(J$9="Three",Three!$D36,"")))</f>
        <v/>
      </c>
      <c r="K36" s="13" t="str">
        <f>IF(K$9="One",One!$D36,IF(K$9="Two",Two!$D36,IF(K$9="Three",Three!$D36,"")))</f>
        <v/>
      </c>
      <c r="L36" s="13" t="str">
        <f>IF(L$9="One",One!$D36,IF(L$9="Two",Two!$D36,IF(L$9="Three",Three!$D36,"")))</f>
        <v/>
      </c>
      <c r="M36" s="13" t="str">
        <f>IF(M$9="One",One!$D36,IF(M$9="Two",Two!$D36,IF(M$9="Three",Three!$D36,"")))</f>
        <v/>
      </c>
      <c r="N36" s="13" t="str">
        <f>IF(N$9="One",One!$D36,IF(N$9="Two",Two!$D36,IF(N$9="Three",Three!$D36,"")))</f>
        <v/>
      </c>
      <c r="O36" s="13" t="str">
        <f>IF(O$9="One",One!$D36,IF(O$9="Two",Two!$D36,IF(O$9="Three",Three!$D36,"")))</f>
        <v/>
      </c>
      <c r="P36" s="13" t="str">
        <f>IF(P$9="One",One!$D36,IF(P$9="Two",Two!$D36,IF(P$9="Three",Three!$D36,"")))</f>
        <v/>
      </c>
      <c r="Q36" s="13" t="str">
        <f>IF(Q$9="One",One!$D36,IF(Q$9="Two",Two!$D36,IF(Q$9="Three",Three!$D36,"")))</f>
        <v/>
      </c>
      <c r="R36" s="13" t="str">
        <f>IF(R$9="One",One!$D36,IF(R$9="Two",Two!$D36,IF(R$9="Three",Three!$D36,"")))</f>
        <v/>
      </c>
      <c r="S36" s="13" t="str">
        <f>IF(S$9="One",One!$D36,IF(S$9="Two",Two!$D36,IF(S$9="Three",Three!$D36,"")))</f>
        <v/>
      </c>
      <c r="T36" s="13" t="str">
        <f>IF(T$9="One",One!$D36,IF(T$9="Two",Two!$D36,IF(T$9="Three",Three!$D36,"")))</f>
        <v/>
      </c>
      <c r="U36" s="13" t="str">
        <f>IF(U$9="One",One!$D36,IF(U$9="Two",Two!$D36,IF(U$9="Three",Three!$D36,"")))</f>
        <v/>
      </c>
      <c r="V36" s="13" t="str">
        <f>IF(V$9="One",One!$D36,IF(V$9="Two",Two!$D36,IF(V$9="Three",Three!$D36,"")))</f>
        <v/>
      </c>
      <c r="W36" s="13" t="str">
        <f>IF(W$9="One",One!$D36,IF(W$9="Two",Two!$D36,IF(W$9="Three",Three!$D36,"")))</f>
        <v/>
      </c>
    </row>
    <row r="37" spans="1:23">
      <c r="A37" t="s">
        <v>77</v>
      </c>
      <c r="B37" t="s">
        <v>78</v>
      </c>
      <c r="C37" s="12">
        <v>6694126</v>
      </c>
      <c r="D37" s="14">
        <v>0</v>
      </c>
      <c r="E37" s="13" t="str">
        <f>IF(E$9="One",One!$D37,IF(E$9="Two",Two!$D37,IF(E$9="Three",Three!$D37,"")))</f>
        <v/>
      </c>
      <c r="F37" s="13" t="str">
        <f>IF(F$9="One",One!$D37,IF(F$9="Two",Two!$D37,IF(F$9="Three",Three!$D37,"")))</f>
        <v/>
      </c>
      <c r="G37" s="13" t="str">
        <f>IF(G$9="One",One!$D37,IF(G$9="Two",Two!$D37,IF(G$9="Three",Three!$D37,"")))</f>
        <v/>
      </c>
      <c r="H37" s="13" t="str">
        <f>IF(H$9="One",One!$D37,IF(H$9="Two",Two!$D37,IF(H$9="Three",Three!$D37,"")))</f>
        <v/>
      </c>
      <c r="I37" s="13" t="str">
        <f>IF(I$9="One",One!$D37,IF(I$9="Two",Two!$D37,IF(I$9="Three",Three!$D37,"")))</f>
        <v/>
      </c>
      <c r="J37" s="13" t="str">
        <f>IF(J$9="One",One!$D37,IF(J$9="Two",Two!$D37,IF(J$9="Three",Three!$D37,"")))</f>
        <v/>
      </c>
      <c r="K37" s="13" t="str">
        <f>IF(K$9="One",One!$D37,IF(K$9="Two",Two!$D37,IF(K$9="Three",Three!$D37,"")))</f>
        <v/>
      </c>
      <c r="L37" s="13" t="str">
        <f>IF(L$9="One",One!$D37,IF(L$9="Two",Two!$D37,IF(L$9="Three",Three!$D37,"")))</f>
        <v/>
      </c>
      <c r="M37" s="13" t="str">
        <f>IF(M$9="One",One!$D37,IF(M$9="Two",Two!$D37,IF(M$9="Three",Three!$D37,"")))</f>
        <v/>
      </c>
      <c r="N37" s="13" t="str">
        <f>IF(N$9="One",One!$D37,IF(N$9="Two",Two!$D37,IF(N$9="Three",Three!$D37,"")))</f>
        <v/>
      </c>
      <c r="O37" s="13" t="str">
        <f>IF(O$9="One",One!$D37,IF(O$9="Two",Two!$D37,IF(O$9="Three",Three!$D37,"")))</f>
        <v/>
      </c>
      <c r="P37" s="13" t="str">
        <f>IF(P$9="One",One!$D37,IF(P$9="Two",Two!$D37,IF(P$9="Three",Three!$D37,"")))</f>
        <v/>
      </c>
      <c r="Q37" s="13" t="str">
        <f>IF(Q$9="One",One!$D37,IF(Q$9="Two",Two!$D37,IF(Q$9="Three",Three!$D37,"")))</f>
        <v/>
      </c>
      <c r="R37" s="13" t="str">
        <f>IF(R$9="One",One!$D37,IF(R$9="Two",Two!$D37,IF(R$9="Three",Three!$D37,"")))</f>
        <v/>
      </c>
      <c r="S37" s="13" t="str">
        <f>IF(S$9="One",One!$D37,IF(S$9="Two",Two!$D37,IF(S$9="Three",Three!$D37,"")))</f>
        <v/>
      </c>
      <c r="T37" s="13" t="str">
        <f>IF(T$9="One",One!$D37,IF(T$9="Two",Two!$D37,IF(T$9="Three",Three!$D37,"")))</f>
        <v/>
      </c>
      <c r="U37" s="13" t="str">
        <f>IF(U$9="One",One!$D37,IF(U$9="Two",Two!$D37,IF(U$9="Three",Three!$D37,"")))</f>
        <v/>
      </c>
      <c r="V37" s="13" t="str">
        <f>IF(V$9="One",One!$D37,IF(V$9="Two",Two!$D37,IF(V$9="Three",Three!$D37,"")))</f>
        <v/>
      </c>
      <c r="W37" s="13" t="str">
        <f>IF(W$9="One",One!$D37,IF(W$9="Two",Two!$D37,IF(W$9="Three",Three!$D37,"")))</f>
        <v/>
      </c>
    </row>
    <row r="38" spans="1:23">
      <c r="C38" s="12"/>
      <c r="D38" s="14"/>
      <c r="E38" s="13" t="str">
        <f>IF(E$9="One",One!$D38,IF(E$9="Two",Two!$D38,IF(E$9="Three",Three!$D38,"")))</f>
        <v/>
      </c>
      <c r="F38" s="13" t="str">
        <f>IF(F$9="One",One!$D38,IF(F$9="Two",Two!$D38,IF(F$9="Three",Three!$D38,"")))</f>
        <v/>
      </c>
      <c r="G38" s="13" t="str">
        <f>IF(G$9="One",One!$D38,IF(G$9="Two",Two!$D38,IF(G$9="Three",Three!$D38,"")))</f>
        <v/>
      </c>
      <c r="H38" s="13" t="str">
        <f>IF(H$9="One",One!$D38,IF(H$9="Two",Two!$D38,IF(H$9="Three",Three!$D38,"")))</f>
        <v/>
      </c>
      <c r="I38" s="13" t="str">
        <f>IF(I$9="One",One!$D38,IF(I$9="Two",Two!$D38,IF(I$9="Three",Three!$D38,"")))</f>
        <v/>
      </c>
      <c r="J38" s="13" t="str">
        <f>IF(J$9="One",One!$D38,IF(J$9="Two",Two!$D38,IF(J$9="Three",Three!$D38,"")))</f>
        <v/>
      </c>
      <c r="K38" s="13" t="str">
        <f>IF(K$9="One",One!$D38,IF(K$9="Two",Two!$D38,IF(K$9="Three",Three!$D38,"")))</f>
        <v/>
      </c>
      <c r="L38" s="13" t="str">
        <f>IF(L$9="One",One!$D38,IF(L$9="Two",Two!$D38,IF(L$9="Three",Three!$D38,"")))</f>
        <v/>
      </c>
      <c r="M38" s="13" t="str">
        <f>IF(M$9="One",One!$D38,IF(M$9="Two",Two!$D38,IF(M$9="Three",Three!$D38,"")))</f>
        <v/>
      </c>
      <c r="N38" s="13" t="str">
        <f>IF(N$9="One",One!$D38,IF(N$9="Two",Two!$D38,IF(N$9="Three",Three!$D38,"")))</f>
        <v/>
      </c>
      <c r="O38" s="13" t="str">
        <f>IF(O$9="One",One!$D38,IF(O$9="Two",Two!$D38,IF(O$9="Three",Three!$D38,"")))</f>
        <v/>
      </c>
      <c r="P38" s="13" t="str">
        <f>IF(P$9="One",One!$D38,IF(P$9="Two",Two!$D38,IF(P$9="Three",Three!$D38,"")))</f>
        <v/>
      </c>
      <c r="Q38" s="13" t="str">
        <f>IF(Q$9="One",One!$D38,IF(Q$9="Two",Two!$D38,IF(Q$9="Three",Three!$D38,"")))</f>
        <v/>
      </c>
      <c r="R38" s="13" t="str">
        <f>IF(R$9="One",One!$D38,IF(R$9="Two",Two!$D38,IF(R$9="Three",Three!$D38,"")))</f>
        <v/>
      </c>
      <c r="S38" s="13" t="str">
        <f>IF(S$9="One",One!$D38,IF(S$9="Two",Two!$D38,IF(S$9="Three",Three!$D38,"")))</f>
        <v/>
      </c>
      <c r="T38" s="13" t="str">
        <f>IF(T$9="One",One!$D38,IF(T$9="Two",Two!$D38,IF(T$9="Three",Three!$D38,"")))</f>
        <v/>
      </c>
      <c r="U38" s="13" t="str">
        <f>IF(U$9="One",One!$D38,IF(U$9="Two",Two!$D38,IF(U$9="Three",Three!$D38,"")))</f>
        <v/>
      </c>
      <c r="V38" s="13" t="str">
        <f>IF(V$9="One",One!$D38,IF(V$9="Two",Two!$D38,IF(V$9="Three",Three!$D38,"")))</f>
        <v/>
      </c>
      <c r="W38" s="13" t="str">
        <f>IF(W$9="One",One!$D38,IF(W$9="Two",Two!$D38,IF(W$9="Three",Three!$D38,"")))</f>
        <v/>
      </c>
    </row>
    <row r="39" spans="1:23">
      <c r="C39" s="12"/>
      <c r="D39" s="14"/>
      <c r="E39" s="13" t="str">
        <f>IF(E$9="One",One!$D39,IF(E$9="Two",Two!$D39,IF(E$9="Three",Three!$D39,"")))</f>
        <v/>
      </c>
      <c r="F39" s="13" t="str">
        <f>IF(F$9="One",One!$D39,IF(F$9="Two",Two!$D39,IF(F$9="Three",Three!$D39,"")))</f>
        <v/>
      </c>
      <c r="G39" s="13" t="str">
        <f>IF(G$9="One",One!$D39,IF(G$9="Two",Two!$D39,IF(G$9="Three",Three!$D39,"")))</f>
        <v/>
      </c>
      <c r="H39" s="13" t="str">
        <f>IF(H$9="One",One!$D39,IF(H$9="Two",Two!$D39,IF(H$9="Three",Three!$D39,"")))</f>
        <v/>
      </c>
      <c r="I39" s="13" t="str">
        <f>IF(I$9="One",One!$D39,IF(I$9="Two",Two!$D39,IF(I$9="Three",Three!$D39,"")))</f>
        <v/>
      </c>
      <c r="J39" s="13" t="str">
        <f>IF(J$9="One",One!$D39,IF(J$9="Two",Two!$D39,IF(J$9="Three",Three!$D39,"")))</f>
        <v/>
      </c>
      <c r="K39" s="13" t="str">
        <f>IF(K$9="One",One!$D39,IF(K$9="Two",Two!$D39,IF(K$9="Three",Three!$D39,"")))</f>
        <v/>
      </c>
      <c r="L39" s="13" t="str">
        <f>IF(L$9="One",One!$D39,IF(L$9="Two",Two!$D39,IF(L$9="Three",Three!$D39,"")))</f>
        <v/>
      </c>
      <c r="M39" s="13" t="str">
        <f>IF(M$9="One",One!$D39,IF(M$9="Two",Two!$D39,IF(M$9="Three",Three!$D39,"")))</f>
        <v/>
      </c>
      <c r="N39" s="13" t="str">
        <f>IF(N$9="One",One!$D39,IF(N$9="Two",Two!$D39,IF(N$9="Three",Three!$D39,"")))</f>
        <v/>
      </c>
      <c r="O39" s="13" t="str">
        <f>IF(O$9="One",One!$D39,IF(O$9="Two",Two!$D39,IF(O$9="Three",Three!$D39,"")))</f>
        <v/>
      </c>
      <c r="P39" s="13" t="str">
        <f>IF(P$9="One",One!$D39,IF(P$9="Two",Two!$D39,IF(P$9="Three",Three!$D39,"")))</f>
        <v/>
      </c>
      <c r="Q39" s="13" t="str">
        <f>IF(Q$9="One",One!$D39,IF(Q$9="Two",Two!$D39,IF(Q$9="Three",Three!$D39,"")))</f>
        <v/>
      </c>
      <c r="R39" s="13" t="str">
        <f>IF(R$9="One",One!$D39,IF(R$9="Two",Two!$D39,IF(R$9="Three",Three!$D39,"")))</f>
        <v/>
      </c>
      <c r="S39" s="13" t="str">
        <f>IF(S$9="One",One!$D39,IF(S$9="Two",Two!$D39,IF(S$9="Three",Three!$D39,"")))</f>
        <v/>
      </c>
      <c r="T39" s="13" t="str">
        <f>IF(T$9="One",One!$D39,IF(T$9="Two",Two!$D39,IF(T$9="Three",Three!$D39,"")))</f>
        <v/>
      </c>
      <c r="U39" s="13" t="str">
        <f>IF(U$9="One",One!$D39,IF(U$9="Two",Two!$D39,IF(U$9="Three",Three!$D39,"")))</f>
        <v/>
      </c>
      <c r="V39" s="13" t="str">
        <f>IF(V$9="One",One!$D39,IF(V$9="Two",Two!$D39,IF(V$9="Three",Three!$D39,"")))</f>
        <v/>
      </c>
      <c r="W39" s="13" t="str">
        <f>IF(W$9="One",One!$D39,IF(W$9="Two",Two!$D39,IF(W$9="Three",Three!$D39,"")))</f>
        <v/>
      </c>
    </row>
    <row r="40" spans="1:23">
      <c r="C40" s="12"/>
      <c r="D40" s="14"/>
      <c r="E40" s="13" t="str">
        <f>IF(E$9="One",One!$D40,IF(E$9="Two",Two!$D40,IF(E$9="Three",Three!$D40,"")))</f>
        <v/>
      </c>
      <c r="F40" s="13" t="str">
        <f>IF(F$9="One",One!$D40,IF(F$9="Two",Two!$D40,IF(F$9="Three",Three!$D40,"")))</f>
        <v/>
      </c>
      <c r="G40" s="13" t="str">
        <f>IF(G$9="One",One!$D40,IF(G$9="Two",Two!$D40,IF(G$9="Three",Three!$D40,"")))</f>
        <v/>
      </c>
      <c r="H40" s="13" t="str">
        <f>IF(H$9="One",One!$D40,IF(H$9="Two",Two!$D40,IF(H$9="Three",Three!$D40,"")))</f>
        <v/>
      </c>
      <c r="I40" s="13" t="str">
        <f>IF(I$9="One",One!$D40,IF(I$9="Two",Two!$D40,IF(I$9="Three",Three!$D40,"")))</f>
        <v/>
      </c>
      <c r="J40" s="13" t="str">
        <f>IF(J$9="One",One!$D40,IF(J$9="Two",Two!$D40,IF(J$9="Three",Three!$D40,"")))</f>
        <v/>
      </c>
      <c r="K40" s="13" t="str">
        <f>IF(K$9="One",One!$D40,IF(K$9="Two",Two!$D40,IF(K$9="Three",Three!$D40,"")))</f>
        <v/>
      </c>
      <c r="L40" s="13" t="str">
        <f>IF(L$9="One",One!$D40,IF(L$9="Two",Two!$D40,IF(L$9="Three",Three!$D40,"")))</f>
        <v/>
      </c>
      <c r="M40" s="13" t="str">
        <f>IF(M$9="One",One!$D40,IF(M$9="Two",Two!$D40,IF(M$9="Three",Three!$D40,"")))</f>
        <v/>
      </c>
      <c r="N40" s="13" t="str">
        <f>IF(N$9="One",One!$D40,IF(N$9="Two",Two!$D40,IF(N$9="Three",Three!$D40,"")))</f>
        <v/>
      </c>
      <c r="O40" s="13" t="str">
        <f>IF(O$9="One",One!$D40,IF(O$9="Two",Two!$D40,IF(O$9="Three",Three!$D40,"")))</f>
        <v/>
      </c>
      <c r="P40" s="13" t="str">
        <f>IF(P$9="One",One!$D40,IF(P$9="Two",Two!$D40,IF(P$9="Three",Three!$D40,"")))</f>
        <v/>
      </c>
      <c r="Q40" s="13" t="str">
        <f>IF(Q$9="One",One!$D40,IF(Q$9="Two",Two!$D40,IF(Q$9="Three",Three!$D40,"")))</f>
        <v/>
      </c>
      <c r="R40" s="13" t="str">
        <f>IF(R$9="One",One!$D40,IF(R$9="Two",Two!$D40,IF(R$9="Three",Three!$D40,"")))</f>
        <v/>
      </c>
      <c r="S40" s="13" t="str">
        <f>IF(S$9="One",One!$D40,IF(S$9="Two",Two!$D40,IF(S$9="Three",Three!$D40,"")))</f>
        <v/>
      </c>
      <c r="T40" s="13" t="str">
        <f>IF(T$9="One",One!$D40,IF(T$9="Two",Two!$D40,IF(T$9="Three",Three!$D40,"")))</f>
        <v/>
      </c>
      <c r="U40" s="13" t="str">
        <f>IF(U$9="One",One!$D40,IF(U$9="Two",Two!$D40,IF(U$9="Three",Three!$D40,"")))</f>
        <v/>
      </c>
      <c r="V40" s="13" t="str">
        <f>IF(V$9="One",One!$D40,IF(V$9="Two",Two!$D40,IF(V$9="Three",Three!$D40,"")))</f>
        <v/>
      </c>
      <c r="W40" s="13" t="str">
        <f>IF(W$9="One",One!$D40,IF(W$9="Two",Two!$D40,IF(W$9="Three",Three!$D40,"")))</f>
        <v/>
      </c>
    </row>
    <row r="41" spans="1:23">
      <c r="C41" s="12"/>
      <c r="D41" s="14"/>
      <c r="E41" s="13" t="str">
        <f>IF(E$9="One",One!$D41,IF(E$9="Two",Two!$D41,IF(E$9="Three",Three!$D41,"")))</f>
        <v/>
      </c>
      <c r="F41" s="13" t="str">
        <f>IF(F$9="One",One!$D41,IF(F$9="Two",Two!$D41,IF(F$9="Three",Three!$D41,"")))</f>
        <v/>
      </c>
      <c r="G41" s="13" t="str">
        <f>IF(G$9="One",One!$D41,IF(G$9="Two",Two!$D41,IF(G$9="Three",Three!$D41,"")))</f>
        <v/>
      </c>
      <c r="H41" s="13" t="str">
        <f>IF(H$9="One",One!$D41,IF(H$9="Two",Two!$D41,IF(H$9="Three",Three!$D41,"")))</f>
        <v/>
      </c>
      <c r="I41" s="13" t="str">
        <f>IF(I$9="One",One!$D41,IF(I$9="Two",Two!$D41,IF(I$9="Three",Three!$D41,"")))</f>
        <v/>
      </c>
      <c r="J41" s="13" t="str">
        <f>IF(J$9="One",One!$D41,IF(J$9="Two",Two!$D41,IF(J$9="Three",Three!$D41,"")))</f>
        <v/>
      </c>
      <c r="K41" s="13" t="str">
        <f>IF(K$9="One",One!$D41,IF(K$9="Two",Two!$D41,IF(K$9="Three",Three!$D41,"")))</f>
        <v/>
      </c>
      <c r="L41" s="13" t="str">
        <f>IF(L$9="One",One!$D41,IF(L$9="Two",Two!$D41,IF(L$9="Three",Three!$D41,"")))</f>
        <v/>
      </c>
      <c r="M41" s="13" t="str">
        <f>IF(M$9="One",One!$D41,IF(M$9="Two",Two!$D41,IF(M$9="Three",Three!$D41,"")))</f>
        <v/>
      </c>
      <c r="N41" s="13" t="str">
        <f>IF(N$9="One",One!$D41,IF(N$9="Two",Two!$D41,IF(N$9="Three",Three!$D41,"")))</f>
        <v/>
      </c>
      <c r="O41" s="13" t="str">
        <f>IF(O$9="One",One!$D41,IF(O$9="Two",Two!$D41,IF(O$9="Three",Three!$D41,"")))</f>
        <v/>
      </c>
      <c r="P41" s="13" t="str">
        <f>IF(P$9="One",One!$D41,IF(P$9="Two",Two!$D41,IF(P$9="Three",Three!$D41,"")))</f>
        <v/>
      </c>
      <c r="Q41" s="13" t="str">
        <f>IF(Q$9="One",One!$D41,IF(Q$9="Two",Two!$D41,IF(Q$9="Three",Three!$D41,"")))</f>
        <v/>
      </c>
      <c r="R41" s="13" t="str">
        <f>IF(R$9="One",One!$D41,IF(R$9="Two",Two!$D41,IF(R$9="Three",Three!$D41,"")))</f>
        <v/>
      </c>
      <c r="S41" s="13" t="str">
        <f>IF(S$9="One",One!$D41,IF(S$9="Two",Two!$D41,IF(S$9="Three",Three!$D41,"")))</f>
        <v/>
      </c>
      <c r="T41" s="13" t="str">
        <f>IF(T$9="One",One!$D41,IF(T$9="Two",Two!$D41,IF(T$9="Three",Three!$D41,"")))</f>
        <v/>
      </c>
      <c r="U41" s="13" t="str">
        <f>IF(U$9="One",One!$D41,IF(U$9="Two",Two!$D41,IF(U$9="Three",Three!$D41,"")))</f>
        <v/>
      </c>
      <c r="V41" s="13" t="str">
        <f>IF(V$9="One",One!$D41,IF(V$9="Two",Two!$D41,IF(V$9="Three",Three!$D41,"")))</f>
        <v/>
      </c>
      <c r="W41" s="13" t="str">
        <f>IF(W$9="One",One!$D41,IF(W$9="Two",Two!$D41,IF(W$9="Three",Three!$D41,"")))</f>
        <v/>
      </c>
    </row>
    <row r="42" spans="1:23">
      <c r="C42" s="12"/>
      <c r="D42" s="14"/>
      <c r="E42" s="13" t="str">
        <f>IF(E$9="One",One!$D42,IF(E$9="Two",Two!$D42,IF(E$9="Three",Three!$D42,"")))</f>
        <v/>
      </c>
      <c r="F42" s="13" t="str">
        <f>IF(F$9="One",One!$D42,IF(F$9="Two",Two!$D42,IF(F$9="Three",Three!$D42,"")))</f>
        <v/>
      </c>
      <c r="G42" s="13" t="str">
        <f>IF(G$9="One",One!$D42,IF(G$9="Two",Two!$D42,IF(G$9="Three",Three!$D42,"")))</f>
        <v/>
      </c>
      <c r="H42" s="13" t="str">
        <f>IF(H$9="One",One!$D42,IF(H$9="Two",Two!$D42,IF(H$9="Three",Three!$D42,"")))</f>
        <v/>
      </c>
      <c r="I42" s="13" t="str">
        <f>IF(I$9="One",One!$D42,IF(I$9="Two",Two!$D42,IF(I$9="Three",Three!$D42,"")))</f>
        <v/>
      </c>
      <c r="J42" s="13" t="str">
        <f>IF(J$9="One",One!$D42,IF(J$9="Two",Two!$D42,IF(J$9="Three",Three!$D42,"")))</f>
        <v/>
      </c>
      <c r="K42" s="13" t="str">
        <f>IF(K$9="One",One!$D42,IF(K$9="Two",Two!$D42,IF(K$9="Three",Three!$D42,"")))</f>
        <v/>
      </c>
      <c r="L42" s="13" t="str">
        <f>IF(L$9="One",One!$D42,IF(L$9="Two",Two!$D42,IF(L$9="Three",Three!$D42,"")))</f>
        <v/>
      </c>
      <c r="M42" s="13" t="str">
        <f>IF(M$9="One",One!$D42,IF(M$9="Two",Two!$D42,IF(M$9="Three",Three!$D42,"")))</f>
        <v/>
      </c>
      <c r="N42" s="13" t="str">
        <f>IF(N$9="One",One!$D42,IF(N$9="Two",Two!$D42,IF(N$9="Three",Three!$D42,"")))</f>
        <v/>
      </c>
      <c r="O42" s="13" t="str">
        <f>IF(O$9="One",One!$D42,IF(O$9="Two",Two!$D42,IF(O$9="Three",Three!$D42,"")))</f>
        <v/>
      </c>
      <c r="P42" s="13" t="str">
        <f>IF(P$9="One",One!$D42,IF(P$9="Two",Two!$D42,IF(P$9="Three",Three!$D42,"")))</f>
        <v/>
      </c>
      <c r="Q42" s="13" t="str">
        <f>IF(Q$9="One",One!$D42,IF(Q$9="Two",Two!$D42,IF(Q$9="Three",Three!$D42,"")))</f>
        <v/>
      </c>
      <c r="R42" s="13" t="str">
        <f>IF(R$9="One",One!$D42,IF(R$9="Two",Two!$D42,IF(R$9="Three",Three!$D42,"")))</f>
        <v/>
      </c>
      <c r="S42" s="13" t="str">
        <f>IF(S$9="One",One!$D42,IF(S$9="Two",Two!$D42,IF(S$9="Three",Three!$D42,"")))</f>
        <v/>
      </c>
      <c r="T42" s="13" t="str">
        <f>IF(T$9="One",One!$D42,IF(T$9="Two",Two!$D42,IF(T$9="Three",Three!$D42,"")))</f>
        <v/>
      </c>
      <c r="U42" s="13" t="str">
        <f>IF(U$9="One",One!$D42,IF(U$9="Two",Two!$D42,IF(U$9="Three",Three!$D42,"")))</f>
        <v/>
      </c>
      <c r="V42" s="13" t="str">
        <f>IF(V$9="One",One!$D42,IF(V$9="Two",Two!$D42,IF(V$9="Three",Three!$D42,"")))</f>
        <v/>
      </c>
      <c r="W42" s="13" t="str">
        <f>IF(W$9="One",One!$D42,IF(W$9="Two",Two!$D42,IF(W$9="Three",Three!$D42,"")))</f>
        <v/>
      </c>
    </row>
    <row r="43" spans="1:23">
      <c r="C43" s="12"/>
      <c r="D43" s="14"/>
      <c r="E43" s="13" t="str">
        <f>IF(E$9="One",One!$D43,IF(E$9="Two",Two!$D43,IF(E$9="Three",Three!$D43,"")))</f>
        <v/>
      </c>
      <c r="F43" s="13" t="str">
        <f>IF(F$9="One",One!$D43,IF(F$9="Two",Two!$D43,IF(F$9="Three",Three!$D43,"")))</f>
        <v/>
      </c>
      <c r="G43" s="13" t="str">
        <f>IF(G$9="One",One!$D43,IF(G$9="Two",Two!$D43,IF(G$9="Three",Three!$D43,"")))</f>
        <v/>
      </c>
      <c r="H43" s="13" t="str">
        <f>IF(H$9="One",One!$D43,IF(H$9="Two",Two!$D43,IF(H$9="Three",Three!$D43,"")))</f>
        <v/>
      </c>
      <c r="I43" s="13" t="str">
        <f>IF(I$9="One",One!$D43,IF(I$9="Two",Two!$D43,IF(I$9="Three",Three!$D43,"")))</f>
        <v/>
      </c>
      <c r="J43" s="13" t="str">
        <f>IF(J$9="One",One!$D43,IF(J$9="Two",Two!$D43,IF(J$9="Three",Three!$D43,"")))</f>
        <v/>
      </c>
      <c r="K43" s="13" t="str">
        <f>IF(K$9="One",One!$D43,IF(K$9="Two",Two!$D43,IF(K$9="Three",Three!$D43,"")))</f>
        <v/>
      </c>
      <c r="L43" s="13" t="str">
        <f>IF(L$9="One",One!$D43,IF(L$9="Two",Two!$D43,IF(L$9="Three",Three!$D43,"")))</f>
        <v/>
      </c>
      <c r="M43" s="13" t="str">
        <f>IF(M$9="One",One!$D43,IF(M$9="Two",Two!$D43,IF(M$9="Three",Three!$D43,"")))</f>
        <v/>
      </c>
      <c r="N43" s="13" t="str">
        <f>IF(N$9="One",One!$D43,IF(N$9="Two",Two!$D43,IF(N$9="Three",Three!$D43,"")))</f>
        <v/>
      </c>
      <c r="O43" s="13" t="str">
        <f>IF(O$9="One",One!$D43,IF(O$9="Two",Two!$D43,IF(O$9="Three",Three!$D43,"")))</f>
        <v/>
      </c>
      <c r="P43" s="13" t="str">
        <f>IF(P$9="One",One!$D43,IF(P$9="Two",Two!$D43,IF(P$9="Three",Three!$D43,"")))</f>
        <v/>
      </c>
      <c r="Q43" s="13" t="str">
        <f>IF(Q$9="One",One!$D43,IF(Q$9="Two",Two!$D43,IF(Q$9="Three",Three!$D43,"")))</f>
        <v/>
      </c>
      <c r="R43" s="13" t="str">
        <f>IF(R$9="One",One!$D43,IF(R$9="Two",Two!$D43,IF(R$9="Three",Three!$D43,"")))</f>
        <v/>
      </c>
      <c r="S43" s="13" t="str">
        <f>IF(S$9="One",One!$D43,IF(S$9="Two",Two!$D43,IF(S$9="Three",Three!$D43,"")))</f>
        <v/>
      </c>
      <c r="T43" s="13" t="str">
        <f>IF(T$9="One",One!$D43,IF(T$9="Two",Two!$D43,IF(T$9="Three",Three!$D43,"")))</f>
        <v/>
      </c>
      <c r="U43" s="13" t="str">
        <f>IF(U$9="One",One!$D43,IF(U$9="Two",Two!$D43,IF(U$9="Three",Three!$D43,"")))</f>
        <v/>
      </c>
      <c r="V43" s="13" t="str">
        <f>IF(V$9="One",One!$D43,IF(V$9="Two",Two!$D43,IF(V$9="Three",Three!$D43,"")))</f>
        <v/>
      </c>
      <c r="W43" s="13" t="str">
        <f>IF(W$9="One",One!$D43,IF(W$9="Two",Two!$D43,IF(W$9="Three",Three!$D43,"")))</f>
        <v/>
      </c>
    </row>
    <row r="44" spans="1:23">
      <c r="C44" s="12"/>
      <c r="D44" s="14"/>
      <c r="E44" s="13" t="str">
        <f>IF(E$9="One",One!$D44,IF(E$9="Two",Two!$D44,IF(E$9="Three",Three!$D44,"")))</f>
        <v/>
      </c>
      <c r="F44" s="13" t="str">
        <f>IF(F$9="One",One!$D44,IF(F$9="Two",Two!$D44,IF(F$9="Three",Three!$D44,"")))</f>
        <v/>
      </c>
      <c r="G44" s="13" t="str">
        <f>IF(G$9="One",One!$D44,IF(G$9="Two",Two!$D44,IF(G$9="Three",Three!$D44,"")))</f>
        <v/>
      </c>
      <c r="H44" s="13" t="str">
        <f>IF(H$9="One",One!$D44,IF(H$9="Two",Two!$D44,IF(H$9="Three",Three!$D44,"")))</f>
        <v/>
      </c>
      <c r="I44" s="13" t="str">
        <f>IF(I$9="One",One!$D44,IF(I$9="Two",Two!$D44,IF(I$9="Three",Three!$D44,"")))</f>
        <v/>
      </c>
      <c r="J44" s="13" t="str">
        <f>IF(J$9="One",One!$D44,IF(J$9="Two",Two!$D44,IF(J$9="Three",Three!$D44,"")))</f>
        <v/>
      </c>
      <c r="K44" s="13" t="str">
        <f>IF(K$9="One",One!$D44,IF(K$9="Two",Two!$D44,IF(K$9="Three",Three!$D44,"")))</f>
        <v/>
      </c>
      <c r="L44" s="13" t="str">
        <f>IF(L$9="One",One!$D44,IF(L$9="Two",Two!$D44,IF(L$9="Three",Three!$D44,"")))</f>
        <v/>
      </c>
      <c r="M44" s="13" t="str">
        <f>IF(M$9="One",One!$D44,IF(M$9="Two",Two!$D44,IF(M$9="Three",Three!$D44,"")))</f>
        <v/>
      </c>
      <c r="N44" s="13" t="str">
        <f>IF(N$9="One",One!$D44,IF(N$9="Two",Two!$D44,IF(N$9="Three",Three!$D44,"")))</f>
        <v/>
      </c>
      <c r="O44" s="13" t="str">
        <f>IF(O$9="One",One!$D44,IF(O$9="Two",Two!$D44,IF(O$9="Three",Three!$D44,"")))</f>
        <v/>
      </c>
      <c r="P44" s="13" t="str">
        <f>IF(P$9="One",One!$D44,IF(P$9="Two",Two!$D44,IF(P$9="Three",Three!$D44,"")))</f>
        <v/>
      </c>
      <c r="Q44" s="13" t="str">
        <f>IF(Q$9="One",One!$D44,IF(Q$9="Two",Two!$D44,IF(Q$9="Three",Three!$D44,"")))</f>
        <v/>
      </c>
      <c r="R44" s="13" t="str">
        <f>IF(R$9="One",One!$D44,IF(R$9="Two",Two!$D44,IF(R$9="Three",Three!$D44,"")))</f>
        <v/>
      </c>
      <c r="S44" s="13" t="str">
        <f>IF(S$9="One",One!$D44,IF(S$9="Two",Two!$D44,IF(S$9="Three",Three!$D44,"")))</f>
        <v/>
      </c>
      <c r="T44" s="13" t="str">
        <f>IF(T$9="One",One!$D44,IF(T$9="Two",Two!$D44,IF(T$9="Three",Three!$D44,"")))</f>
        <v/>
      </c>
      <c r="U44" s="13" t="str">
        <f>IF(U$9="One",One!$D44,IF(U$9="Two",Two!$D44,IF(U$9="Three",Three!$D44,"")))</f>
        <v/>
      </c>
      <c r="V44" s="13" t="str">
        <f>IF(V$9="One",One!$D44,IF(V$9="Two",Two!$D44,IF(V$9="Three",Three!$D44,"")))</f>
        <v/>
      </c>
      <c r="W44" s="13" t="str">
        <f>IF(W$9="One",One!$D44,IF(W$9="Two",Two!$D44,IF(W$9="Three",Three!$D44,"")))</f>
        <v/>
      </c>
    </row>
    <row r="45" spans="1:23">
      <c r="C45" s="12"/>
      <c r="D45" s="14"/>
      <c r="E45" s="13" t="str">
        <f>IF(E$9="One",One!$D45,IF(E$9="Two",Two!$D45,IF(E$9="Three",Three!$D45,"")))</f>
        <v/>
      </c>
      <c r="F45" s="13" t="str">
        <f>IF(F$9="One",One!$D45,IF(F$9="Two",Two!$D45,IF(F$9="Three",Three!$D45,"")))</f>
        <v/>
      </c>
      <c r="G45" s="13" t="str">
        <f>IF(G$9="One",One!$D45,IF(G$9="Two",Two!$D45,IF(G$9="Three",Three!$D45,"")))</f>
        <v/>
      </c>
      <c r="H45" s="13" t="str">
        <f>IF(H$9="One",One!$D45,IF(H$9="Two",Two!$D45,IF(H$9="Three",Three!$D45,"")))</f>
        <v/>
      </c>
      <c r="I45" s="13" t="str">
        <f>IF(I$9="One",One!$D45,IF(I$9="Two",Two!$D45,IF(I$9="Three",Three!$D45,"")))</f>
        <v/>
      </c>
      <c r="J45" s="13" t="str">
        <f>IF(J$9="One",One!$D45,IF(J$9="Two",Two!$D45,IF(J$9="Three",Three!$D45,"")))</f>
        <v/>
      </c>
      <c r="K45" s="13" t="str">
        <f>IF(K$9="One",One!$D45,IF(K$9="Two",Two!$D45,IF(K$9="Three",Three!$D45,"")))</f>
        <v/>
      </c>
      <c r="L45" s="13" t="str">
        <f>IF(L$9="One",One!$D45,IF(L$9="Two",Two!$D45,IF(L$9="Three",Three!$D45,"")))</f>
        <v/>
      </c>
      <c r="M45" s="13" t="str">
        <f>IF(M$9="One",One!$D45,IF(M$9="Two",Two!$D45,IF(M$9="Three",Three!$D45,"")))</f>
        <v/>
      </c>
      <c r="N45" s="13" t="str">
        <f>IF(N$9="One",One!$D45,IF(N$9="Two",Two!$D45,IF(N$9="Three",Three!$D45,"")))</f>
        <v/>
      </c>
      <c r="O45" s="13" t="str">
        <f>IF(O$9="One",One!$D45,IF(O$9="Two",Two!$D45,IF(O$9="Three",Three!$D45,"")))</f>
        <v/>
      </c>
      <c r="P45" s="13" t="str">
        <f>IF(P$9="One",One!$D45,IF(P$9="Two",Two!$D45,IF(P$9="Three",Three!$D45,"")))</f>
        <v/>
      </c>
      <c r="Q45" s="13" t="str">
        <f>IF(Q$9="One",One!$D45,IF(Q$9="Two",Two!$D45,IF(Q$9="Three",Three!$D45,"")))</f>
        <v/>
      </c>
      <c r="R45" s="13" t="str">
        <f>IF(R$9="One",One!$D45,IF(R$9="Two",Two!$D45,IF(R$9="Three",Three!$D45,"")))</f>
        <v/>
      </c>
      <c r="S45" s="13" t="str">
        <f>IF(S$9="One",One!$D45,IF(S$9="Two",Two!$D45,IF(S$9="Three",Three!$D45,"")))</f>
        <v/>
      </c>
      <c r="T45" s="13" t="str">
        <f>IF(T$9="One",One!$D45,IF(T$9="Two",Two!$D45,IF(T$9="Three",Three!$D45,"")))</f>
        <v/>
      </c>
      <c r="U45" s="13" t="str">
        <f>IF(U$9="One",One!$D45,IF(U$9="Two",Two!$D45,IF(U$9="Three",Three!$D45,"")))</f>
        <v/>
      </c>
      <c r="V45" s="13" t="str">
        <f>IF(V$9="One",One!$D45,IF(V$9="Two",Two!$D45,IF(V$9="Three",Three!$D45,"")))</f>
        <v/>
      </c>
      <c r="W45" s="13" t="str">
        <f>IF(W$9="One",One!$D45,IF(W$9="Two",Two!$D45,IF(W$9="Three",Three!$D45,"")))</f>
        <v/>
      </c>
    </row>
    <row r="46" spans="1:23">
      <c r="C46" s="12"/>
      <c r="D46" s="14"/>
      <c r="E46" s="13" t="str">
        <f>IF(E$9="One",One!$D46,IF(E$9="Two",Two!$D46,IF(E$9="Three",Three!$D46,"")))</f>
        <v/>
      </c>
      <c r="F46" s="13" t="str">
        <f>IF(F$9="One",One!$D46,IF(F$9="Two",Two!$D46,IF(F$9="Three",Three!$D46,"")))</f>
        <v/>
      </c>
      <c r="G46" s="13" t="str">
        <f>IF(G$9="One",One!$D46,IF(G$9="Two",Two!$D46,IF(G$9="Three",Three!$D46,"")))</f>
        <v/>
      </c>
      <c r="H46" s="13" t="str">
        <f>IF(H$9="One",One!$D46,IF(H$9="Two",Two!$D46,IF(H$9="Three",Three!$D46,"")))</f>
        <v/>
      </c>
      <c r="I46" s="13" t="str">
        <f>IF(I$9="One",One!$D46,IF(I$9="Two",Two!$D46,IF(I$9="Three",Three!$D46,"")))</f>
        <v/>
      </c>
      <c r="J46" s="13" t="str">
        <f>IF(J$9="One",One!$D46,IF(J$9="Two",Two!$D46,IF(J$9="Three",Three!$D46,"")))</f>
        <v/>
      </c>
      <c r="K46" s="13" t="str">
        <f>IF(K$9="One",One!$D46,IF(K$9="Two",Two!$D46,IF(K$9="Three",Three!$D46,"")))</f>
        <v/>
      </c>
      <c r="L46" s="13" t="str">
        <f>IF(L$9="One",One!$D46,IF(L$9="Two",Two!$D46,IF(L$9="Three",Three!$D46,"")))</f>
        <v/>
      </c>
      <c r="M46" s="13" t="str">
        <f>IF(M$9="One",One!$D46,IF(M$9="Two",Two!$D46,IF(M$9="Three",Three!$D46,"")))</f>
        <v/>
      </c>
      <c r="N46" s="13" t="str">
        <f>IF(N$9="One",One!$D46,IF(N$9="Two",Two!$D46,IF(N$9="Three",Three!$D46,"")))</f>
        <v/>
      </c>
      <c r="O46" s="13" t="str">
        <f>IF(O$9="One",One!$D46,IF(O$9="Two",Two!$D46,IF(O$9="Three",Three!$D46,"")))</f>
        <v/>
      </c>
      <c r="P46" s="13" t="str">
        <f>IF(P$9="One",One!$D46,IF(P$9="Two",Two!$D46,IF(P$9="Three",Three!$D46,"")))</f>
        <v/>
      </c>
      <c r="Q46" s="13" t="str">
        <f>IF(Q$9="One",One!$D46,IF(Q$9="Two",Two!$D46,IF(Q$9="Three",Three!$D46,"")))</f>
        <v/>
      </c>
      <c r="R46" s="13" t="str">
        <f>IF(R$9="One",One!$D46,IF(R$9="Two",Two!$D46,IF(R$9="Three",Three!$D46,"")))</f>
        <v/>
      </c>
      <c r="S46" s="13" t="str">
        <f>IF(S$9="One",One!$D46,IF(S$9="Two",Two!$D46,IF(S$9="Three",Three!$D46,"")))</f>
        <v/>
      </c>
      <c r="T46" s="13" t="str">
        <f>IF(T$9="One",One!$D46,IF(T$9="Two",Two!$D46,IF(T$9="Three",Three!$D46,"")))</f>
        <v/>
      </c>
      <c r="U46" s="13" t="str">
        <f>IF(U$9="One",One!$D46,IF(U$9="Two",Two!$D46,IF(U$9="Three",Three!$D46,"")))</f>
        <v/>
      </c>
      <c r="V46" s="13" t="str">
        <f>IF(V$9="One",One!$D46,IF(V$9="Two",Two!$D46,IF(V$9="Three",Three!$D46,"")))</f>
        <v/>
      </c>
      <c r="W46" s="13" t="str">
        <f>IF(W$9="One",One!$D46,IF(W$9="Two",Two!$D46,IF(W$9="Three",Three!$D46,"")))</f>
        <v/>
      </c>
    </row>
    <row r="47" spans="1:23">
      <c r="C47" s="12"/>
      <c r="D47" s="14"/>
      <c r="E47" s="13" t="str">
        <f>IF(E$9="One",One!$D47,IF(E$9="Two",Two!$D47,IF(E$9="Three",Three!$D47,"")))</f>
        <v/>
      </c>
      <c r="F47" s="13" t="str">
        <f>IF(F$9="One",One!$D47,IF(F$9="Two",Two!$D47,IF(F$9="Three",Three!$D47,"")))</f>
        <v/>
      </c>
      <c r="G47" s="13" t="str">
        <f>IF(G$9="One",One!$D47,IF(G$9="Two",Two!$D47,IF(G$9="Three",Three!$D47,"")))</f>
        <v/>
      </c>
      <c r="H47" s="13" t="str">
        <f>IF(H$9="One",One!$D47,IF(H$9="Two",Two!$D47,IF(H$9="Three",Three!$D47,"")))</f>
        <v/>
      </c>
      <c r="I47" s="13" t="str">
        <f>IF(I$9="One",One!$D47,IF(I$9="Two",Two!$D47,IF(I$9="Three",Three!$D47,"")))</f>
        <v/>
      </c>
      <c r="J47" s="13" t="str">
        <f>IF(J$9="One",One!$D47,IF(J$9="Two",Two!$D47,IF(J$9="Three",Three!$D47,"")))</f>
        <v/>
      </c>
      <c r="K47" s="13" t="str">
        <f>IF(K$9="One",One!$D47,IF(K$9="Two",Two!$D47,IF(K$9="Three",Three!$D47,"")))</f>
        <v/>
      </c>
      <c r="L47" s="13" t="str">
        <f>IF(L$9="One",One!$D47,IF(L$9="Two",Two!$D47,IF(L$9="Three",Three!$D47,"")))</f>
        <v/>
      </c>
      <c r="M47" s="13" t="str">
        <f>IF(M$9="One",One!$D47,IF(M$9="Two",Two!$D47,IF(M$9="Three",Three!$D47,"")))</f>
        <v/>
      </c>
      <c r="N47" s="13" t="str">
        <f>IF(N$9="One",One!$D47,IF(N$9="Two",Two!$D47,IF(N$9="Three",Three!$D47,"")))</f>
        <v/>
      </c>
      <c r="O47" s="13" t="str">
        <f>IF(O$9="One",One!$D47,IF(O$9="Two",Two!$D47,IF(O$9="Three",Three!$D47,"")))</f>
        <v/>
      </c>
      <c r="P47" s="13" t="str">
        <f>IF(P$9="One",One!$D47,IF(P$9="Two",Two!$D47,IF(P$9="Three",Three!$D47,"")))</f>
        <v/>
      </c>
      <c r="Q47" s="13" t="str">
        <f>IF(Q$9="One",One!$D47,IF(Q$9="Two",Two!$D47,IF(Q$9="Three",Three!$D47,"")))</f>
        <v/>
      </c>
      <c r="R47" s="13" t="str">
        <f>IF(R$9="One",One!$D47,IF(R$9="Two",Two!$D47,IF(R$9="Three",Three!$D47,"")))</f>
        <v/>
      </c>
      <c r="S47" s="13" t="str">
        <f>IF(S$9="One",One!$D47,IF(S$9="Two",Two!$D47,IF(S$9="Three",Three!$D47,"")))</f>
        <v/>
      </c>
      <c r="T47" s="13" t="str">
        <f>IF(T$9="One",One!$D47,IF(T$9="Two",Two!$D47,IF(T$9="Three",Three!$D47,"")))</f>
        <v/>
      </c>
      <c r="U47" s="13" t="str">
        <f>IF(U$9="One",One!$D47,IF(U$9="Two",Two!$D47,IF(U$9="Three",Three!$D47,"")))</f>
        <v/>
      </c>
      <c r="V47" s="13" t="str">
        <f>IF(V$9="One",One!$D47,IF(V$9="Two",Two!$D47,IF(V$9="Three",Three!$D47,"")))</f>
        <v/>
      </c>
      <c r="W47" s="13" t="str">
        <f>IF(W$9="One",One!$D47,IF(W$9="Two",Two!$D47,IF(W$9="Three",Three!$D47,"")))</f>
        <v/>
      </c>
    </row>
    <row r="48" spans="1:23">
      <c r="C48" s="12"/>
      <c r="D48" s="14"/>
      <c r="E48" s="13" t="str">
        <f>IF(E$9="One",One!$D48,IF(E$9="Two",Two!$D48,IF(E$9="Three",Three!$D48,"")))</f>
        <v/>
      </c>
      <c r="F48" s="13" t="str">
        <f>IF(F$9="One",One!$D48,IF(F$9="Two",Two!$D48,IF(F$9="Three",Three!$D48,"")))</f>
        <v/>
      </c>
      <c r="G48" s="13" t="str">
        <f>IF(G$9="One",One!$D48,IF(G$9="Two",Two!$D48,IF(G$9="Three",Three!$D48,"")))</f>
        <v/>
      </c>
      <c r="H48" s="13" t="str">
        <f>IF(H$9="One",One!$D48,IF(H$9="Two",Two!$D48,IF(H$9="Three",Three!$D48,"")))</f>
        <v/>
      </c>
      <c r="I48" s="13" t="str">
        <f>IF(I$9="One",One!$D48,IF(I$9="Two",Two!$D48,IF(I$9="Three",Three!$D48,"")))</f>
        <v/>
      </c>
      <c r="J48" s="13" t="str">
        <f>IF(J$9="One",One!$D48,IF(J$9="Two",Two!$D48,IF(J$9="Three",Three!$D48,"")))</f>
        <v/>
      </c>
      <c r="K48" s="13" t="str">
        <f>IF(K$9="One",One!$D48,IF(K$9="Two",Two!$D48,IF(K$9="Three",Three!$D48,"")))</f>
        <v/>
      </c>
      <c r="L48" s="13" t="str">
        <f>IF(L$9="One",One!$D48,IF(L$9="Two",Two!$D48,IF(L$9="Three",Three!$D48,"")))</f>
        <v/>
      </c>
      <c r="M48" s="13" t="str">
        <f>IF(M$9="One",One!$D48,IF(M$9="Two",Two!$D48,IF(M$9="Three",Three!$D48,"")))</f>
        <v/>
      </c>
      <c r="N48" s="13" t="str">
        <f>IF(N$9="One",One!$D48,IF(N$9="Two",Two!$D48,IF(N$9="Three",Three!$D48,"")))</f>
        <v/>
      </c>
      <c r="O48" s="13" t="str">
        <f>IF(O$9="One",One!$D48,IF(O$9="Two",Two!$D48,IF(O$9="Three",Three!$D48,"")))</f>
        <v/>
      </c>
      <c r="P48" s="13" t="str">
        <f>IF(P$9="One",One!$D48,IF(P$9="Two",Two!$D48,IF(P$9="Three",Three!$D48,"")))</f>
        <v/>
      </c>
      <c r="Q48" s="13" t="str">
        <f>IF(Q$9="One",One!$D48,IF(Q$9="Two",Two!$D48,IF(Q$9="Three",Three!$D48,"")))</f>
        <v/>
      </c>
      <c r="R48" s="13" t="str">
        <f>IF(R$9="One",One!$D48,IF(R$9="Two",Two!$D48,IF(R$9="Three",Three!$D48,"")))</f>
        <v/>
      </c>
      <c r="S48" s="13" t="str">
        <f>IF(S$9="One",One!$D48,IF(S$9="Two",Two!$D48,IF(S$9="Three",Three!$D48,"")))</f>
        <v/>
      </c>
      <c r="T48" s="13" t="str">
        <f>IF(T$9="One",One!$D48,IF(T$9="Two",Two!$D48,IF(T$9="Three",Three!$D48,"")))</f>
        <v/>
      </c>
      <c r="U48" s="13" t="str">
        <f>IF(U$9="One",One!$D48,IF(U$9="Two",Two!$D48,IF(U$9="Three",Three!$D48,"")))</f>
        <v/>
      </c>
      <c r="V48" s="13" t="str">
        <f>IF(V$9="One",One!$D48,IF(V$9="Two",Two!$D48,IF(V$9="Three",Three!$D48,"")))</f>
        <v/>
      </c>
      <c r="W48" s="13" t="str">
        <f>IF(W$9="One",One!$D48,IF(W$9="Two",Two!$D48,IF(W$9="Three",Three!$D48,"")))</f>
        <v/>
      </c>
    </row>
    <row r="49" spans="3:23">
      <c r="C49" s="12"/>
      <c r="D49" s="14"/>
      <c r="E49" s="13" t="str">
        <f>IF(E$9="One",One!$D49,IF(E$9="Two",Two!$D49,IF(E$9="Three",Three!$D49,"")))</f>
        <v/>
      </c>
      <c r="F49" s="13" t="str">
        <f>IF(F$9="One",One!$D49,IF(F$9="Two",Two!$D49,IF(F$9="Three",Three!$D49,"")))</f>
        <v/>
      </c>
      <c r="G49" s="13" t="str">
        <f>IF(G$9="One",One!$D49,IF(G$9="Two",Two!$D49,IF(G$9="Three",Three!$D49,"")))</f>
        <v/>
      </c>
      <c r="H49" s="13" t="str">
        <f>IF(H$9="One",One!$D49,IF(H$9="Two",Two!$D49,IF(H$9="Three",Three!$D49,"")))</f>
        <v/>
      </c>
      <c r="I49" s="13" t="str">
        <f>IF(I$9="One",One!$D49,IF(I$9="Two",Two!$D49,IF(I$9="Three",Three!$D49,"")))</f>
        <v/>
      </c>
      <c r="J49" s="13" t="str">
        <f>IF(J$9="One",One!$D49,IF(J$9="Two",Two!$D49,IF(J$9="Three",Three!$D49,"")))</f>
        <v/>
      </c>
      <c r="K49" s="13" t="str">
        <f>IF(K$9="One",One!$D49,IF(K$9="Two",Two!$D49,IF(K$9="Three",Three!$D49,"")))</f>
        <v/>
      </c>
      <c r="L49" s="13" t="str">
        <f>IF(L$9="One",One!$D49,IF(L$9="Two",Two!$D49,IF(L$9="Three",Three!$D49,"")))</f>
        <v/>
      </c>
      <c r="M49" s="13" t="str">
        <f>IF(M$9="One",One!$D49,IF(M$9="Two",Two!$D49,IF(M$9="Three",Three!$D49,"")))</f>
        <v/>
      </c>
      <c r="N49" s="13" t="str">
        <f>IF(N$9="One",One!$D49,IF(N$9="Two",Two!$D49,IF(N$9="Three",Three!$D49,"")))</f>
        <v/>
      </c>
      <c r="O49" s="13" t="str">
        <f>IF(O$9="One",One!$D49,IF(O$9="Two",Two!$D49,IF(O$9="Three",Three!$D49,"")))</f>
        <v/>
      </c>
      <c r="P49" s="13" t="str">
        <f>IF(P$9="One",One!$D49,IF(P$9="Two",Two!$D49,IF(P$9="Three",Three!$D49,"")))</f>
        <v/>
      </c>
      <c r="Q49" s="13" t="str">
        <f>IF(Q$9="One",One!$D49,IF(Q$9="Two",Two!$D49,IF(Q$9="Three",Three!$D49,"")))</f>
        <v/>
      </c>
      <c r="R49" s="13" t="str">
        <f>IF(R$9="One",One!$D49,IF(R$9="Two",Two!$D49,IF(R$9="Three",Three!$D49,"")))</f>
        <v/>
      </c>
      <c r="S49" s="13" t="str">
        <f>IF(S$9="One",One!$D49,IF(S$9="Two",Two!$D49,IF(S$9="Three",Three!$D49,"")))</f>
        <v/>
      </c>
      <c r="T49" s="13" t="str">
        <f>IF(T$9="One",One!$D49,IF(T$9="Two",Two!$D49,IF(T$9="Three",Three!$D49,"")))</f>
        <v/>
      </c>
      <c r="U49" s="13" t="str">
        <f>IF(U$9="One",One!$D49,IF(U$9="Two",Two!$D49,IF(U$9="Three",Three!$D49,"")))</f>
        <v/>
      </c>
      <c r="V49" s="13" t="str">
        <f>IF(V$9="One",One!$D49,IF(V$9="Two",Two!$D49,IF(V$9="Three",Three!$D49,"")))</f>
        <v/>
      </c>
      <c r="W49" s="13" t="str">
        <f>IF(W$9="One",One!$D49,IF(W$9="Two",Two!$D49,IF(W$9="Three",Three!$D49,"")))</f>
        <v/>
      </c>
    </row>
    <row r="50" spans="3:23">
      <c r="C50" s="12"/>
      <c r="D50" s="14"/>
      <c r="E50" s="13" t="str">
        <f>IF(E$9="One",One!$D50,IF(E$9="Two",Two!$D50,IF(E$9="Three",Three!$D50,"")))</f>
        <v/>
      </c>
      <c r="F50" s="13" t="str">
        <f>IF(F$9="One",One!$D50,IF(F$9="Two",Two!$D50,IF(F$9="Three",Three!$D50,"")))</f>
        <v/>
      </c>
      <c r="G50" s="13" t="str">
        <f>IF(G$9="One",One!$D50,IF(G$9="Two",Two!$D50,IF(G$9="Three",Three!$D50,"")))</f>
        <v/>
      </c>
      <c r="H50" s="13" t="str">
        <f>IF(H$9="One",One!$D50,IF(H$9="Two",Two!$D50,IF(H$9="Three",Three!$D50,"")))</f>
        <v/>
      </c>
      <c r="I50" s="13" t="str">
        <f>IF(I$9="One",One!$D50,IF(I$9="Two",Two!$D50,IF(I$9="Three",Three!$D50,"")))</f>
        <v/>
      </c>
      <c r="J50" s="13" t="str">
        <f>IF(J$9="One",One!$D50,IF(J$9="Two",Two!$D50,IF(J$9="Three",Three!$D50,"")))</f>
        <v/>
      </c>
      <c r="K50" s="13" t="str">
        <f>IF(K$9="One",One!$D50,IF(K$9="Two",Two!$D50,IF(K$9="Three",Three!$D50,"")))</f>
        <v/>
      </c>
      <c r="L50" s="13" t="str">
        <f>IF(L$9="One",One!$D50,IF(L$9="Two",Two!$D50,IF(L$9="Three",Three!$D50,"")))</f>
        <v/>
      </c>
      <c r="M50" s="13" t="str">
        <f>IF(M$9="One",One!$D50,IF(M$9="Two",Two!$D50,IF(M$9="Three",Three!$D50,"")))</f>
        <v/>
      </c>
      <c r="N50" s="13" t="str">
        <f>IF(N$9="One",One!$D50,IF(N$9="Two",Two!$D50,IF(N$9="Three",Three!$D50,"")))</f>
        <v/>
      </c>
      <c r="O50" s="13" t="str">
        <f>IF(O$9="One",One!$D50,IF(O$9="Two",Two!$D50,IF(O$9="Three",Three!$D50,"")))</f>
        <v/>
      </c>
      <c r="P50" s="13" t="str">
        <f>IF(P$9="One",One!$D50,IF(P$9="Two",Two!$D50,IF(P$9="Three",Three!$D50,"")))</f>
        <v/>
      </c>
      <c r="Q50" s="13" t="str">
        <f>IF(Q$9="One",One!$D50,IF(Q$9="Two",Two!$D50,IF(Q$9="Three",Three!$D50,"")))</f>
        <v/>
      </c>
      <c r="R50" s="13" t="str">
        <f>IF(R$9="One",One!$D50,IF(R$9="Two",Two!$D50,IF(R$9="Three",Three!$D50,"")))</f>
        <v/>
      </c>
      <c r="S50" s="13" t="str">
        <f>IF(S$9="One",One!$D50,IF(S$9="Two",Two!$D50,IF(S$9="Three",Three!$D50,"")))</f>
        <v/>
      </c>
      <c r="T50" s="13" t="str">
        <f>IF(T$9="One",One!$D50,IF(T$9="Two",Two!$D50,IF(T$9="Three",Three!$D50,"")))</f>
        <v/>
      </c>
      <c r="U50" s="13" t="str">
        <f>IF(U$9="One",One!$D50,IF(U$9="Two",Two!$D50,IF(U$9="Three",Three!$D50,"")))</f>
        <v/>
      </c>
      <c r="V50" s="13" t="str">
        <f>IF(V$9="One",One!$D50,IF(V$9="Two",Two!$D50,IF(V$9="Three",Three!$D50,"")))</f>
        <v/>
      </c>
      <c r="W50" s="13" t="str">
        <f>IF(W$9="One",One!$D50,IF(W$9="Two",Two!$D50,IF(W$9="Three",Three!$D50,"")))</f>
        <v/>
      </c>
    </row>
    <row r="51" spans="3:23">
      <c r="C51" s="12"/>
      <c r="D51" s="14"/>
      <c r="E51" s="13" t="str">
        <f>IF(E$9="One",One!$D51,IF(E$9="Two",Two!$D51,IF(E$9="Three",Three!$D51,"")))</f>
        <v/>
      </c>
      <c r="F51" s="13" t="str">
        <f>IF(F$9="One",One!$D51,IF(F$9="Two",Two!$D51,IF(F$9="Three",Three!$D51,"")))</f>
        <v/>
      </c>
      <c r="G51" s="13" t="str">
        <f>IF(G$9="One",One!$D51,IF(G$9="Two",Two!$D51,IF(G$9="Three",Three!$D51,"")))</f>
        <v/>
      </c>
      <c r="H51" s="13" t="str">
        <f>IF(H$9="One",One!$D51,IF(H$9="Two",Two!$D51,IF(H$9="Three",Three!$D51,"")))</f>
        <v/>
      </c>
      <c r="I51" s="13" t="str">
        <f>IF(I$9="One",One!$D51,IF(I$9="Two",Two!$D51,IF(I$9="Three",Three!$D51,"")))</f>
        <v/>
      </c>
      <c r="J51" s="13" t="str">
        <f>IF(J$9="One",One!$D51,IF(J$9="Two",Two!$D51,IF(J$9="Three",Three!$D51,"")))</f>
        <v/>
      </c>
      <c r="K51" s="13" t="str">
        <f>IF(K$9="One",One!$D51,IF(K$9="Two",Two!$D51,IF(K$9="Three",Three!$D51,"")))</f>
        <v/>
      </c>
      <c r="L51" s="13" t="str">
        <f>IF(L$9="One",One!$D51,IF(L$9="Two",Two!$D51,IF(L$9="Three",Three!$D51,"")))</f>
        <v/>
      </c>
      <c r="M51" s="13" t="str">
        <f>IF(M$9="One",One!$D51,IF(M$9="Two",Two!$D51,IF(M$9="Three",Three!$D51,"")))</f>
        <v/>
      </c>
      <c r="N51" s="13" t="str">
        <f>IF(N$9="One",One!$D51,IF(N$9="Two",Two!$D51,IF(N$9="Three",Three!$D51,"")))</f>
        <v/>
      </c>
      <c r="O51" s="13" t="str">
        <f>IF(O$9="One",One!$D51,IF(O$9="Two",Two!$D51,IF(O$9="Three",Three!$D51,"")))</f>
        <v/>
      </c>
      <c r="P51" s="13" t="str">
        <f>IF(P$9="One",One!$D51,IF(P$9="Two",Two!$D51,IF(P$9="Three",Three!$D51,"")))</f>
        <v/>
      </c>
      <c r="Q51" s="13" t="str">
        <f>IF(Q$9="One",One!$D51,IF(Q$9="Two",Two!$D51,IF(Q$9="Three",Three!$D51,"")))</f>
        <v/>
      </c>
      <c r="R51" s="13" t="str">
        <f>IF(R$9="One",One!$D51,IF(R$9="Two",Two!$D51,IF(R$9="Three",Three!$D51,"")))</f>
        <v/>
      </c>
      <c r="S51" s="13" t="str">
        <f>IF(S$9="One",One!$D51,IF(S$9="Two",Two!$D51,IF(S$9="Three",Three!$D51,"")))</f>
        <v/>
      </c>
      <c r="T51" s="13" t="str">
        <f>IF(T$9="One",One!$D51,IF(T$9="Two",Two!$D51,IF(T$9="Three",Three!$D51,"")))</f>
        <v/>
      </c>
      <c r="U51" s="13" t="str">
        <f>IF(U$9="One",One!$D51,IF(U$9="Two",Two!$D51,IF(U$9="Three",Three!$D51,"")))</f>
        <v/>
      </c>
      <c r="V51" s="13" t="str">
        <f>IF(V$9="One",One!$D51,IF(V$9="Two",Two!$D51,IF(V$9="Three",Three!$D51,"")))</f>
        <v/>
      </c>
      <c r="W51" s="13" t="str">
        <f>IF(W$9="One",One!$D51,IF(W$9="Two",Two!$D51,IF(W$9="Three",Three!$D51,"")))</f>
        <v/>
      </c>
    </row>
    <row r="52" spans="3:23">
      <c r="C52" s="12"/>
      <c r="D52" s="14"/>
      <c r="E52" s="13" t="str">
        <f>IF(E$9="One",One!$D52,IF(E$9="Two",Two!$D52,IF(E$9="Three",Three!$D52,"")))</f>
        <v/>
      </c>
      <c r="F52" s="13" t="str">
        <f>IF(F$9="One",One!$D52,IF(F$9="Two",Two!$D52,IF(F$9="Three",Three!$D52,"")))</f>
        <v/>
      </c>
      <c r="G52" s="13" t="str">
        <f>IF(G$9="One",One!$D52,IF(G$9="Two",Two!$D52,IF(G$9="Three",Three!$D52,"")))</f>
        <v/>
      </c>
      <c r="H52" s="13" t="str">
        <f>IF(H$9="One",One!$D52,IF(H$9="Two",Two!$D52,IF(H$9="Three",Three!$D52,"")))</f>
        <v/>
      </c>
      <c r="I52" s="13" t="str">
        <f>IF(I$9="One",One!$D52,IF(I$9="Two",Two!$D52,IF(I$9="Three",Three!$D52,"")))</f>
        <v/>
      </c>
      <c r="J52" s="13" t="str">
        <f>IF(J$9="One",One!$D52,IF(J$9="Two",Two!$D52,IF(J$9="Three",Three!$D52,"")))</f>
        <v/>
      </c>
      <c r="K52" s="13" t="str">
        <f>IF(K$9="One",One!$D52,IF(K$9="Two",Two!$D52,IF(K$9="Three",Three!$D52,"")))</f>
        <v/>
      </c>
      <c r="L52" s="13" t="str">
        <f>IF(L$9="One",One!$D52,IF(L$9="Two",Two!$D52,IF(L$9="Three",Three!$D52,"")))</f>
        <v/>
      </c>
      <c r="M52" s="13" t="str">
        <f>IF(M$9="One",One!$D52,IF(M$9="Two",Two!$D52,IF(M$9="Three",Three!$D52,"")))</f>
        <v/>
      </c>
      <c r="N52" s="13" t="str">
        <f>IF(N$9="One",One!$D52,IF(N$9="Two",Two!$D52,IF(N$9="Three",Three!$D52,"")))</f>
        <v/>
      </c>
      <c r="O52" s="13" t="str">
        <f>IF(O$9="One",One!$D52,IF(O$9="Two",Two!$D52,IF(O$9="Three",Three!$D52,"")))</f>
        <v/>
      </c>
      <c r="P52" s="13" t="str">
        <f>IF(P$9="One",One!$D52,IF(P$9="Two",Two!$D52,IF(P$9="Three",Three!$D52,"")))</f>
        <v/>
      </c>
      <c r="Q52" s="13" t="str">
        <f>IF(Q$9="One",One!$D52,IF(Q$9="Two",Two!$D52,IF(Q$9="Three",Three!$D52,"")))</f>
        <v/>
      </c>
      <c r="R52" s="13" t="str">
        <f>IF(R$9="One",One!$D52,IF(R$9="Two",Two!$D52,IF(R$9="Three",Three!$D52,"")))</f>
        <v/>
      </c>
      <c r="S52" s="13" t="str">
        <f>IF(S$9="One",One!$D52,IF(S$9="Two",Two!$D52,IF(S$9="Three",Three!$D52,"")))</f>
        <v/>
      </c>
      <c r="T52" s="13" t="str">
        <f>IF(T$9="One",One!$D52,IF(T$9="Two",Two!$D52,IF(T$9="Three",Three!$D52,"")))</f>
        <v/>
      </c>
      <c r="U52" s="13" t="str">
        <f>IF(U$9="One",One!$D52,IF(U$9="Two",Two!$D52,IF(U$9="Three",Three!$D52,"")))</f>
        <v/>
      </c>
      <c r="V52" s="13" t="str">
        <f>IF(V$9="One",One!$D52,IF(V$9="Two",Two!$D52,IF(V$9="Three",Three!$D52,"")))</f>
        <v/>
      </c>
      <c r="W52" s="13" t="str">
        <f>IF(W$9="One",One!$D52,IF(W$9="Two",Two!$D52,IF(W$9="Three",Three!$D52,"")))</f>
        <v/>
      </c>
    </row>
    <row r="53" spans="3:23">
      <c r="C53" s="12"/>
      <c r="D53" s="14"/>
      <c r="E53" s="13" t="str">
        <f>IF(E$9="One",One!$D53,IF(E$9="Two",Two!$D53,IF(E$9="Three",Three!$D53,"")))</f>
        <v/>
      </c>
      <c r="F53" s="13" t="str">
        <f>IF(F$9="One",One!$D53,IF(F$9="Two",Two!$D53,IF(F$9="Three",Three!$D53,"")))</f>
        <v/>
      </c>
      <c r="G53" s="13" t="str">
        <f>IF(G$9="One",One!$D53,IF(G$9="Two",Two!$D53,IF(G$9="Three",Three!$D53,"")))</f>
        <v/>
      </c>
      <c r="H53" s="13" t="str">
        <f>IF(H$9="One",One!$D53,IF(H$9="Two",Two!$D53,IF(H$9="Three",Three!$D53,"")))</f>
        <v/>
      </c>
      <c r="I53" s="13" t="str">
        <f>IF(I$9="One",One!$D53,IF(I$9="Two",Two!$D53,IF(I$9="Three",Three!$D53,"")))</f>
        <v/>
      </c>
      <c r="J53" s="13" t="str">
        <f>IF(J$9="One",One!$D53,IF(J$9="Two",Two!$D53,IF(J$9="Three",Three!$D53,"")))</f>
        <v/>
      </c>
      <c r="K53" s="13" t="str">
        <f>IF(K$9="One",One!$D53,IF(K$9="Two",Two!$D53,IF(K$9="Three",Three!$D53,"")))</f>
        <v/>
      </c>
      <c r="L53" s="13" t="str">
        <f>IF(L$9="One",One!$D53,IF(L$9="Two",Two!$D53,IF(L$9="Three",Three!$D53,"")))</f>
        <v/>
      </c>
      <c r="M53" s="13" t="str">
        <f>IF(M$9="One",One!$D53,IF(M$9="Two",Two!$D53,IF(M$9="Three",Three!$D53,"")))</f>
        <v/>
      </c>
      <c r="N53" s="13" t="str">
        <f>IF(N$9="One",One!$D53,IF(N$9="Two",Two!$D53,IF(N$9="Three",Three!$D53,"")))</f>
        <v/>
      </c>
      <c r="O53" s="13" t="str">
        <f>IF(O$9="One",One!$D53,IF(O$9="Two",Two!$D53,IF(O$9="Three",Three!$D53,"")))</f>
        <v/>
      </c>
      <c r="P53" s="13" t="str">
        <f>IF(P$9="One",One!$D53,IF(P$9="Two",Two!$D53,IF(P$9="Three",Three!$D53,"")))</f>
        <v/>
      </c>
      <c r="Q53" s="13" t="str">
        <f>IF(Q$9="One",One!$D53,IF(Q$9="Two",Two!$D53,IF(Q$9="Three",Three!$D53,"")))</f>
        <v/>
      </c>
      <c r="R53" s="13" t="str">
        <f>IF(R$9="One",One!$D53,IF(R$9="Two",Two!$D53,IF(R$9="Three",Three!$D53,"")))</f>
        <v/>
      </c>
      <c r="S53" s="13" t="str">
        <f>IF(S$9="One",One!$D53,IF(S$9="Two",Two!$D53,IF(S$9="Three",Three!$D53,"")))</f>
        <v/>
      </c>
      <c r="T53" s="13" t="str">
        <f>IF(T$9="One",One!$D53,IF(T$9="Two",Two!$D53,IF(T$9="Three",Three!$D53,"")))</f>
        <v/>
      </c>
      <c r="U53" s="13" t="str">
        <f>IF(U$9="One",One!$D53,IF(U$9="Two",Two!$D53,IF(U$9="Three",Three!$D53,"")))</f>
        <v/>
      </c>
      <c r="V53" s="13" t="str">
        <f>IF(V$9="One",One!$D53,IF(V$9="Two",Two!$D53,IF(V$9="Three",Three!$D53,"")))</f>
        <v/>
      </c>
      <c r="W53" s="13" t="str">
        <f>IF(W$9="One",One!$D53,IF(W$9="Two",Two!$D53,IF(W$9="Three",Three!$D53,"")))</f>
        <v/>
      </c>
    </row>
    <row r="54" spans="3:23">
      <c r="C54" s="12"/>
      <c r="D54" s="14"/>
      <c r="E54" s="13" t="str">
        <f>IF(E$9="One",One!$D54,IF(E$9="Two",Two!$D54,IF(E$9="Three",Three!$D54,"")))</f>
        <v/>
      </c>
      <c r="F54" s="13" t="str">
        <f>IF(F$9="One",One!$D54,IF(F$9="Two",Two!$D54,IF(F$9="Three",Three!$D54,"")))</f>
        <v/>
      </c>
      <c r="G54" s="13" t="str">
        <f>IF(G$9="One",One!$D54,IF(G$9="Two",Two!$D54,IF(G$9="Three",Three!$D54,"")))</f>
        <v/>
      </c>
      <c r="H54" s="13" t="str">
        <f>IF(H$9="One",One!$D54,IF(H$9="Two",Two!$D54,IF(H$9="Three",Three!$D54,"")))</f>
        <v/>
      </c>
      <c r="I54" s="13" t="str">
        <f>IF(I$9="One",One!$D54,IF(I$9="Two",Two!$D54,IF(I$9="Three",Three!$D54,"")))</f>
        <v/>
      </c>
      <c r="J54" s="13" t="str">
        <f>IF(J$9="One",One!$D54,IF(J$9="Two",Two!$D54,IF(J$9="Three",Three!$D54,"")))</f>
        <v/>
      </c>
      <c r="K54" s="13" t="str">
        <f>IF(K$9="One",One!$D54,IF(K$9="Two",Two!$D54,IF(K$9="Three",Three!$D54,"")))</f>
        <v/>
      </c>
      <c r="L54" s="13" t="str">
        <f>IF(L$9="One",One!$D54,IF(L$9="Two",Two!$D54,IF(L$9="Three",Three!$D54,"")))</f>
        <v/>
      </c>
      <c r="M54" s="13" t="str">
        <f>IF(M$9="One",One!$D54,IF(M$9="Two",Two!$D54,IF(M$9="Three",Three!$D54,"")))</f>
        <v/>
      </c>
      <c r="N54" s="13" t="str">
        <f>IF(N$9="One",One!$D54,IF(N$9="Two",Two!$D54,IF(N$9="Three",Three!$D54,"")))</f>
        <v/>
      </c>
      <c r="O54" s="13" t="str">
        <f>IF(O$9="One",One!$D54,IF(O$9="Two",Two!$D54,IF(O$9="Three",Three!$D54,"")))</f>
        <v/>
      </c>
      <c r="P54" s="13" t="str">
        <f>IF(P$9="One",One!$D54,IF(P$9="Two",Two!$D54,IF(P$9="Three",Three!$D54,"")))</f>
        <v/>
      </c>
      <c r="Q54" s="13" t="str">
        <f>IF(Q$9="One",One!$D54,IF(Q$9="Two",Two!$D54,IF(Q$9="Three",Three!$D54,"")))</f>
        <v/>
      </c>
      <c r="R54" s="13" t="str">
        <f>IF(R$9="One",One!$D54,IF(R$9="Two",Two!$D54,IF(R$9="Three",Three!$D54,"")))</f>
        <v/>
      </c>
      <c r="S54" s="13" t="str">
        <f>IF(S$9="One",One!$D54,IF(S$9="Two",Two!$D54,IF(S$9="Three",Three!$D54,"")))</f>
        <v/>
      </c>
      <c r="T54" s="13" t="str">
        <f>IF(T$9="One",One!$D54,IF(T$9="Two",Two!$D54,IF(T$9="Three",Three!$D54,"")))</f>
        <v/>
      </c>
      <c r="U54" s="13" t="str">
        <f>IF(U$9="One",One!$D54,IF(U$9="Two",Two!$D54,IF(U$9="Three",Three!$D54,"")))</f>
        <v/>
      </c>
      <c r="V54" s="13" t="str">
        <f>IF(V$9="One",One!$D54,IF(V$9="Two",Two!$D54,IF(V$9="Three",Three!$D54,"")))</f>
        <v/>
      </c>
      <c r="W54" s="13" t="str">
        <f>IF(W$9="One",One!$D54,IF(W$9="Two",Two!$D54,IF(W$9="Three",Three!$D54,"")))</f>
        <v/>
      </c>
    </row>
    <row r="55" spans="3:23">
      <c r="C55" s="12"/>
      <c r="D55" s="14"/>
      <c r="E55" s="13" t="str">
        <f>IF(E$9="One",One!$D55,IF(E$9="Two",Two!$D55,IF(E$9="Three",Three!$D55,"")))</f>
        <v/>
      </c>
      <c r="F55" s="13" t="str">
        <f>IF(F$9="One",One!$D55,IF(F$9="Two",Two!$D55,IF(F$9="Three",Three!$D55,"")))</f>
        <v/>
      </c>
      <c r="G55" s="13" t="str">
        <f>IF(G$9="One",One!$D55,IF(G$9="Two",Two!$D55,IF(G$9="Three",Three!$D55,"")))</f>
        <v/>
      </c>
      <c r="H55" s="13" t="str">
        <f>IF(H$9="One",One!$D55,IF(H$9="Two",Two!$D55,IF(H$9="Three",Three!$D55,"")))</f>
        <v/>
      </c>
      <c r="I55" s="13" t="str">
        <f>IF(I$9="One",One!$D55,IF(I$9="Two",Two!$D55,IF(I$9="Three",Three!$D55,"")))</f>
        <v/>
      </c>
      <c r="J55" s="13" t="str">
        <f>IF(J$9="One",One!$D55,IF(J$9="Two",Two!$D55,IF(J$9="Three",Three!$D55,"")))</f>
        <v/>
      </c>
      <c r="K55" s="13" t="str">
        <f>IF(K$9="One",One!$D55,IF(K$9="Two",Two!$D55,IF(K$9="Three",Three!$D55,"")))</f>
        <v/>
      </c>
      <c r="L55" s="13" t="str">
        <f>IF(L$9="One",One!$D55,IF(L$9="Two",Two!$D55,IF(L$9="Three",Three!$D55,"")))</f>
        <v/>
      </c>
      <c r="M55" s="13" t="str">
        <f>IF(M$9="One",One!$D55,IF(M$9="Two",Two!$D55,IF(M$9="Three",Three!$D55,"")))</f>
        <v/>
      </c>
      <c r="N55" s="13" t="str">
        <f>IF(N$9="One",One!$D55,IF(N$9="Two",Two!$D55,IF(N$9="Three",Three!$D55,"")))</f>
        <v/>
      </c>
      <c r="O55" s="13" t="str">
        <f>IF(O$9="One",One!$D55,IF(O$9="Two",Two!$D55,IF(O$9="Three",Three!$D55,"")))</f>
        <v/>
      </c>
      <c r="P55" s="13" t="str">
        <f>IF(P$9="One",One!$D55,IF(P$9="Two",Two!$D55,IF(P$9="Three",Three!$D55,"")))</f>
        <v/>
      </c>
      <c r="Q55" s="13" t="str">
        <f>IF(Q$9="One",One!$D55,IF(Q$9="Two",Two!$D55,IF(Q$9="Three",Three!$D55,"")))</f>
        <v/>
      </c>
      <c r="R55" s="13" t="str">
        <f>IF(R$9="One",One!$D55,IF(R$9="Two",Two!$D55,IF(R$9="Three",Three!$D55,"")))</f>
        <v/>
      </c>
      <c r="S55" s="13" t="str">
        <f>IF(S$9="One",One!$D55,IF(S$9="Two",Two!$D55,IF(S$9="Three",Three!$D55,"")))</f>
        <v/>
      </c>
      <c r="T55" s="13" t="str">
        <f>IF(T$9="One",One!$D55,IF(T$9="Two",Two!$D55,IF(T$9="Three",Three!$D55,"")))</f>
        <v/>
      </c>
      <c r="U55" s="13" t="str">
        <f>IF(U$9="One",One!$D55,IF(U$9="Two",Two!$D55,IF(U$9="Three",Three!$D55,"")))</f>
        <v/>
      </c>
      <c r="V55" s="13" t="str">
        <f>IF(V$9="One",One!$D55,IF(V$9="Two",Two!$D55,IF(V$9="Three",Three!$D55,"")))</f>
        <v/>
      </c>
      <c r="W55" s="13" t="str">
        <f>IF(W$9="One",One!$D55,IF(W$9="Two",Two!$D55,IF(W$9="Three",Three!$D55,"")))</f>
        <v/>
      </c>
    </row>
    <row r="56" spans="3:23">
      <c r="C56" s="12"/>
      <c r="D56" s="14"/>
      <c r="E56" s="13" t="str">
        <f>IF(E$9="One",One!$D56,IF(E$9="Two",Two!$D56,IF(E$9="Three",Three!$D56,"")))</f>
        <v/>
      </c>
      <c r="F56" s="13" t="str">
        <f>IF(F$9="One",One!$D56,IF(F$9="Two",Two!$D56,IF(F$9="Three",Three!$D56,"")))</f>
        <v/>
      </c>
      <c r="G56" s="13" t="str">
        <f>IF(G$9="One",One!$D56,IF(G$9="Two",Two!$D56,IF(G$9="Three",Three!$D56,"")))</f>
        <v/>
      </c>
      <c r="H56" s="13" t="str">
        <f>IF(H$9="One",One!$D56,IF(H$9="Two",Two!$D56,IF(H$9="Three",Three!$D56,"")))</f>
        <v/>
      </c>
      <c r="I56" s="13" t="str">
        <f>IF(I$9="One",One!$D56,IF(I$9="Two",Two!$D56,IF(I$9="Three",Three!$D56,"")))</f>
        <v/>
      </c>
      <c r="J56" s="13" t="str">
        <f>IF(J$9="One",One!$D56,IF(J$9="Two",Two!$D56,IF(J$9="Three",Three!$D56,"")))</f>
        <v/>
      </c>
      <c r="K56" s="13" t="str">
        <f>IF(K$9="One",One!$D56,IF(K$9="Two",Two!$D56,IF(K$9="Three",Three!$D56,"")))</f>
        <v/>
      </c>
      <c r="L56" s="13" t="str">
        <f>IF(L$9="One",One!$D56,IF(L$9="Two",Two!$D56,IF(L$9="Three",Three!$D56,"")))</f>
        <v/>
      </c>
      <c r="M56" s="13" t="str">
        <f>IF(M$9="One",One!$D56,IF(M$9="Two",Two!$D56,IF(M$9="Three",Three!$D56,"")))</f>
        <v/>
      </c>
      <c r="N56" s="13" t="str">
        <f>IF(N$9="One",One!$D56,IF(N$9="Two",Two!$D56,IF(N$9="Three",Three!$D56,"")))</f>
        <v/>
      </c>
      <c r="O56" s="13" t="str">
        <f>IF(O$9="One",One!$D56,IF(O$9="Two",Two!$D56,IF(O$9="Three",Three!$D56,"")))</f>
        <v/>
      </c>
      <c r="P56" s="13" t="str">
        <f>IF(P$9="One",One!$D56,IF(P$9="Two",Two!$D56,IF(P$9="Three",Three!$D56,"")))</f>
        <v/>
      </c>
      <c r="Q56" s="13" t="str">
        <f>IF(Q$9="One",One!$D56,IF(Q$9="Two",Two!$D56,IF(Q$9="Three",Three!$D56,"")))</f>
        <v/>
      </c>
      <c r="R56" s="13" t="str">
        <f>IF(R$9="One",One!$D56,IF(R$9="Two",Two!$D56,IF(R$9="Three",Three!$D56,"")))</f>
        <v/>
      </c>
      <c r="S56" s="13" t="str">
        <f>IF(S$9="One",One!$D56,IF(S$9="Two",Two!$D56,IF(S$9="Three",Three!$D56,"")))</f>
        <v/>
      </c>
      <c r="T56" s="13" t="str">
        <f>IF(T$9="One",One!$D56,IF(T$9="Two",Two!$D56,IF(T$9="Three",Three!$D56,"")))</f>
        <v/>
      </c>
      <c r="U56" s="13" t="str">
        <f>IF(U$9="One",One!$D56,IF(U$9="Two",Two!$D56,IF(U$9="Three",Three!$D56,"")))</f>
        <v/>
      </c>
      <c r="V56" s="13" t="str">
        <f>IF(V$9="One",One!$D56,IF(V$9="Two",Two!$D56,IF(V$9="Three",Three!$D56,"")))</f>
        <v/>
      </c>
      <c r="W56" s="13" t="str">
        <f>IF(W$9="One",One!$D56,IF(W$9="Two",Two!$D56,IF(W$9="Three",Three!$D56,"")))</f>
        <v/>
      </c>
    </row>
    <row r="57" spans="3:23">
      <c r="C57" s="12"/>
      <c r="D57" s="14"/>
      <c r="E57" s="13" t="str">
        <f>IF(E$9="One",One!$D57,IF(E$9="Two",Two!$D57,IF(E$9="Three",Three!$D57,"")))</f>
        <v/>
      </c>
      <c r="F57" s="13" t="str">
        <f>IF(F$9="One",One!$D57,IF(F$9="Two",Two!$D57,IF(F$9="Three",Three!$D57,"")))</f>
        <v/>
      </c>
      <c r="G57" s="13" t="str">
        <f>IF(G$9="One",One!$D57,IF(G$9="Two",Two!$D57,IF(G$9="Three",Three!$D57,"")))</f>
        <v/>
      </c>
      <c r="H57" s="13" t="str">
        <f>IF(H$9="One",One!$D57,IF(H$9="Two",Two!$D57,IF(H$9="Three",Three!$D57,"")))</f>
        <v/>
      </c>
      <c r="I57" s="13" t="str">
        <f>IF(I$9="One",One!$D57,IF(I$9="Two",Two!$D57,IF(I$9="Three",Three!$D57,"")))</f>
        <v/>
      </c>
      <c r="J57" s="13" t="str">
        <f>IF(J$9="One",One!$D57,IF(J$9="Two",Two!$D57,IF(J$9="Three",Three!$D57,"")))</f>
        <v/>
      </c>
      <c r="K57" s="13" t="str">
        <f>IF(K$9="One",One!$D57,IF(K$9="Two",Two!$D57,IF(K$9="Three",Three!$D57,"")))</f>
        <v/>
      </c>
      <c r="L57" s="13" t="str">
        <f>IF(L$9="One",One!$D57,IF(L$9="Two",Two!$D57,IF(L$9="Three",Three!$D57,"")))</f>
        <v/>
      </c>
      <c r="M57" s="13" t="str">
        <f>IF(M$9="One",One!$D57,IF(M$9="Two",Two!$D57,IF(M$9="Three",Three!$D57,"")))</f>
        <v/>
      </c>
      <c r="N57" s="13" t="str">
        <f>IF(N$9="One",One!$D57,IF(N$9="Two",Two!$D57,IF(N$9="Three",Three!$D57,"")))</f>
        <v/>
      </c>
      <c r="O57" s="13" t="str">
        <f>IF(O$9="One",One!$D57,IF(O$9="Two",Two!$D57,IF(O$9="Three",Three!$D57,"")))</f>
        <v/>
      </c>
      <c r="P57" s="13" t="str">
        <f>IF(P$9="One",One!$D57,IF(P$9="Two",Two!$D57,IF(P$9="Three",Three!$D57,"")))</f>
        <v/>
      </c>
      <c r="Q57" s="13" t="str">
        <f>IF(Q$9="One",One!$D57,IF(Q$9="Two",Two!$D57,IF(Q$9="Three",Three!$D57,"")))</f>
        <v/>
      </c>
      <c r="R57" s="13" t="str">
        <f>IF(R$9="One",One!$D57,IF(R$9="Two",Two!$D57,IF(R$9="Three",Three!$D57,"")))</f>
        <v/>
      </c>
      <c r="S57" s="13" t="str">
        <f>IF(S$9="One",One!$D57,IF(S$9="Two",Two!$D57,IF(S$9="Three",Three!$D57,"")))</f>
        <v/>
      </c>
      <c r="T57" s="13" t="str">
        <f>IF(T$9="One",One!$D57,IF(T$9="Two",Two!$D57,IF(T$9="Three",Three!$D57,"")))</f>
        <v/>
      </c>
      <c r="U57" s="13" t="str">
        <f>IF(U$9="One",One!$D57,IF(U$9="Two",Two!$D57,IF(U$9="Three",Three!$D57,"")))</f>
        <v/>
      </c>
      <c r="V57" s="13" t="str">
        <f>IF(V$9="One",One!$D57,IF(V$9="Two",Two!$D57,IF(V$9="Three",Three!$D57,"")))</f>
        <v/>
      </c>
      <c r="W57" s="13" t="str">
        <f>IF(W$9="One",One!$D57,IF(W$9="Two",Two!$D57,IF(W$9="Three",Three!$D57,"")))</f>
        <v/>
      </c>
    </row>
    <row r="58" spans="3:23">
      <c r="C58" s="12"/>
      <c r="D58" s="14"/>
      <c r="E58" s="13" t="str">
        <f>IF(E$9="One",One!$D58,IF(E$9="Two",Two!$D58,IF(E$9="Three",Three!$D58,"")))</f>
        <v/>
      </c>
      <c r="F58" s="13" t="str">
        <f>IF(F$9="One",One!$D58,IF(F$9="Two",Two!$D58,IF(F$9="Three",Three!$D58,"")))</f>
        <v/>
      </c>
      <c r="G58" s="13" t="str">
        <f>IF(G$9="One",One!$D58,IF(G$9="Two",Two!$D58,IF(G$9="Three",Three!$D58,"")))</f>
        <v/>
      </c>
      <c r="H58" s="13" t="str">
        <f>IF(H$9="One",One!$D58,IF(H$9="Two",Two!$D58,IF(H$9="Three",Three!$D58,"")))</f>
        <v/>
      </c>
      <c r="I58" s="13" t="str">
        <f>IF(I$9="One",One!$D58,IF(I$9="Two",Two!$D58,IF(I$9="Three",Three!$D58,"")))</f>
        <v/>
      </c>
      <c r="J58" s="13" t="str">
        <f>IF(J$9="One",One!$D58,IF(J$9="Two",Two!$D58,IF(J$9="Three",Three!$D58,"")))</f>
        <v/>
      </c>
      <c r="K58" s="13" t="str">
        <f>IF(K$9="One",One!$D58,IF(K$9="Two",Two!$D58,IF(K$9="Three",Three!$D58,"")))</f>
        <v/>
      </c>
      <c r="L58" s="13" t="str">
        <f>IF(L$9="One",One!$D58,IF(L$9="Two",Two!$D58,IF(L$9="Three",Three!$D58,"")))</f>
        <v/>
      </c>
      <c r="M58" s="13" t="str">
        <f>IF(M$9="One",One!$D58,IF(M$9="Two",Two!$D58,IF(M$9="Three",Three!$D58,"")))</f>
        <v/>
      </c>
      <c r="N58" s="13" t="str">
        <f>IF(N$9="One",One!$D58,IF(N$9="Two",Two!$D58,IF(N$9="Three",Three!$D58,"")))</f>
        <v/>
      </c>
      <c r="O58" s="13" t="str">
        <f>IF(O$9="One",One!$D58,IF(O$9="Two",Two!$D58,IF(O$9="Three",Three!$D58,"")))</f>
        <v/>
      </c>
      <c r="P58" s="13" t="str">
        <f>IF(P$9="One",One!$D58,IF(P$9="Two",Two!$D58,IF(P$9="Three",Three!$D58,"")))</f>
        <v/>
      </c>
      <c r="Q58" s="13" t="str">
        <f>IF(Q$9="One",One!$D58,IF(Q$9="Two",Two!$D58,IF(Q$9="Three",Three!$D58,"")))</f>
        <v/>
      </c>
      <c r="R58" s="13" t="str">
        <f>IF(R$9="One",One!$D58,IF(R$9="Two",Two!$D58,IF(R$9="Three",Three!$D58,"")))</f>
        <v/>
      </c>
      <c r="S58" s="13" t="str">
        <f>IF(S$9="One",One!$D58,IF(S$9="Two",Two!$D58,IF(S$9="Three",Three!$D58,"")))</f>
        <v/>
      </c>
      <c r="T58" s="13" t="str">
        <f>IF(T$9="One",One!$D58,IF(T$9="Two",Two!$D58,IF(T$9="Three",Three!$D58,"")))</f>
        <v/>
      </c>
      <c r="U58" s="13" t="str">
        <f>IF(U$9="One",One!$D58,IF(U$9="Two",Two!$D58,IF(U$9="Three",Three!$D58,"")))</f>
        <v/>
      </c>
      <c r="V58" s="13" t="str">
        <f>IF(V$9="One",One!$D58,IF(V$9="Two",Two!$D58,IF(V$9="Three",Three!$D58,"")))</f>
        <v/>
      </c>
      <c r="W58" s="13" t="str">
        <f>IF(W$9="One",One!$D58,IF(W$9="Two",Two!$D58,IF(W$9="Three",Three!$D58,"")))</f>
        <v/>
      </c>
    </row>
    <row r="59" spans="3:23">
      <c r="C59" s="12"/>
      <c r="D59" s="14"/>
      <c r="E59" s="13" t="str">
        <f>IF(E$9="One",One!$D59,IF(E$9="Two",Two!$D59,IF(E$9="Three",Three!$D59,"")))</f>
        <v/>
      </c>
      <c r="F59" s="13" t="str">
        <f>IF(F$9="One",One!$D59,IF(F$9="Two",Two!$D59,IF(F$9="Three",Three!$D59,"")))</f>
        <v/>
      </c>
      <c r="G59" s="13" t="str">
        <f>IF(G$9="One",One!$D59,IF(G$9="Two",Two!$D59,IF(G$9="Three",Three!$D59,"")))</f>
        <v/>
      </c>
      <c r="H59" s="13" t="str">
        <f>IF(H$9="One",One!$D59,IF(H$9="Two",Two!$D59,IF(H$9="Three",Three!$D59,"")))</f>
        <v/>
      </c>
      <c r="I59" s="13" t="str">
        <f>IF(I$9="One",One!$D59,IF(I$9="Two",Two!$D59,IF(I$9="Three",Three!$D59,"")))</f>
        <v/>
      </c>
      <c r="J59" s="13" t="str">
        <f>IF(J$9="One",One!$D59,IF(J$9="Two",Two!$D59,IF(J$9="Three",Three!$D59,"")))</f>
        <v/>
      </c>
      <c r="K59" s="13" t="str">
        <f>IF(K$9="One",One!$D59,IF(K$9="Two",Two!$D59,IF(K$9="Three",Three!$D59,"")))</f>
        <v/>
      </c>
      <c r="L59" s="13" t="str">
        <f>IF(L$9="One",One!$D59,IF(L$9="Two",Two!$D59,IF(L$9="Three",Three!$D59,"")))</f>
        <v/>
      </c>
      <c r="M59" s="13" t="str">
        <f>IF(M$9="One",One!$D59,IF(M$9="Two",Two!$D59,IF(M$9="Three",Three!$D59,"")))</f>
        <v/>
      </c>
      <c r="N59" s="13" t="str">
        <f>IF(N$9="One",One!$D59,IF(N$9="Two",Two!$D59,IF(N$9="Three",Three!$D59,"")))</f>
        <v/>
      </c>
      <c r="O59" s="13" t="str">
        <f>IF(O$9="One",One!$D59,IF(O$9="Two",Two!$D59,IF(O$9="Three",Three!$D59,"")))</f>
        <v/>
      </c>
      <c r="P59" s="13" t="str">
        <f>IF(P$9="One",One!$D59,IF(P$9="Two",Two!$D59,IF(P$9="Three",Three!$D59,"")))</f>
        <v/>
      </c>
      <c r="Q59" s="13" t="str">
        <f>IF(Q$9="One",One!$D59,IF(Q$9="Two",Two!$D59,IF(Q$9="Three",Three!$D59,"")))</f>
        <v/>
      </c>
      <c r="R59" s="13" t="str">
        <f>IF(R$9="One",One!$D59,IF(R$9="Two",Two!$D59,IF(R$9="Three",Three!$D59,"")))</f>
        <v/>
      </c>
      <c r="S59" s="13" t="str">
        <f>IF(S$9="One",One!$D59,IF(S$9="Two",Two!$D59,IF(S$9="Three",Three!$D59,"")))</f>
        <v/>
      </c>
      <c r="T59" s="13" t="str">
        <f>IF(T$9="One",One!$D59,IF(T$9="Two",Two!$D59,IF(T$9="Three",Three!$D59,"")))</f>
        <v/>
      </c>
      <c r="U59" s="13" t="str">
        <f>IF(U$9="One",One!$D59,IF(U$9="Two",Two!$D59,IF(U$9="Three",Three!$D59,"")))</f>
        <v/>
      </c>
      <c r="V59" s="13" t="str">
        <f>IF(V$9="One",One!$D59,IF(V$9="Two",Two!$D59,IF(V$9="Three",Three!$D59,"")))</f>
        <v/>
      </c>
      <c r="W59" s="13" t="str">
        <f>IF(W$9="One",One!$D59,IF(W$9="Two",Two!$D59,IF(W$9="Three",Three!$D59,"")))</f>
        <v/>
      </c>
    </row>
    <row r="60" spans="3:23">
      <c r="C60" s="12"/>
      <c r="D60" s="14"/>
      <c r="E60" s="13" t="str">
        <f>IF(E$9="One",One!$D60,IF(E$9="Two",Two!$D60,IF(E$9="Three",Three!$D60,"")))</f>
        <v/>
      </c>
      <c r="F60" s="13" t="str">
        <f>IF(F$9="One",One!$D60,IF(F$9="Two",Two!$D60,IF(F$9="Three",Three!$D60,"")))</f>
        <v/>
      </c>
      <c r="G60" s="13" t="str">
        <f>IF(G$9="One",One!$D60,IF(G$9="Two",Two!$D60,IF(G$9="Three",Three!$D60,"")))</f>
        <v/>
      </c>
      <c r="H60" s="13" t="str">
        <f>IF(H$9="One",One!$D60,IF(H$9="Two",Two!$D60,IF(H$9="Three",Three!$D60,"")))</f>
        <v/>
      </c>
      <c r="I60" s="13" t="str">
        <f>IF(I$9="One",One!$D60,IF(I$9="Two",Two!$D60,IF(I$9="Three",Three!$D60,"")))</f>
        <v/>
      </c>
      <c r="J60" s="13" t="str">
        <f>IF(J$9="One",One!$D60,IF(J$9="Two",Two!$D60,IF(J$9="Three",Three!$D60,"")))</f>
        <v/>
      </c>
      <c r="K60" s="13" t="str">
        <f>IF(K$9="One",One!$D60,IF(K$9="Two",Two!$D60,IF(K$9="Three",Three!$D60,"")))</f>
        <v/>
      </c>
      <c r="L60" s="13" t="str">
        <f>IF(L$9="One",One!$D60,IF(L$9="Two",Two!$D60,IF(L$9="Three",Three!$D60,"")))</f>
        <v/>
      </c>
      <c r="M60" s="13" t="str">
        <f>IF(M$9="One",One!$D60,IF(M$9="Two",Two!$D60,IF(M$9="Three",Three!$D60,"")))</f>
        <v/>
      </c>
      <c r="N60" s="13" t="str">
        <f>IF(N$9="One",One!$D60,IF(N$9="Two",Two!$D60,IF(N$9="Three",Three!$D60,"")))</f>
        <v/>
      </c>
      <c r="O60" s="13" t="str">
        <f>IF(O$9="One",One!$D60,IF(O$9="Two",Two!$D60,IF(O$9="Three",Three!$D60,"")))</f>
        <v/>
      </c>
      <c r="P60" s="13" t="str">
        <f>IF(P$9="One",One!$D60,IF(P$9="Two",Two!$D60,IF(P$9="Three",Three!$D60,"")))</f>
        <v/>
      </c>
      <c r="Q60" s="13" t="str">
        <f>IF(Q$9="One",One!$D60,IF(Q$9="Two",Two!$D60,IF(Q$9="Three",Three!$D60,"")))</f>
        <v/>
      </c>
      <c r="R60" s="13" t="str">
        <f>IF(R$9="One",One!$D60,IF(R$9="Two",Two!$D60,IF(R$9="Three",Three!$D60,"")))</f>
        <v/>
      </c>
      <c r="S60" s="13" t="str">
        <f>IF(S$9="One",One!$D60,IF(S$9="Two",Two!$D60,IF(S$9="Three",Three!$D60,"")))</f>
        <v/>
      </c>
      <c r="T60" s="13" t="str">
        <f>IF(T$9="One",One!$D60,IF(T$9="Two",Two!$D60,IF(T$9="Three",Three!$D60,"")))</f>
        <v/>
      </c>
      <c r="U60" s="13" t="str">
        <f>IF(U$9="One",One!$D60,IF(U$9="Two",Two!$D60,IF(U$9="Three",Three!$D60,"")))</f>
        <v/>
      </c>
      <c r="V60" s="13" t="str">
        <f>IF(V$9="One",One!$D60,IF(V$9="Two",Two!$D60,IF(V$9="Three",Three!$D60,"")))</f>
        <v/>
      </c>
      <c r="W60" s="13" t="str">
        <f>IF(W$9="One",One!$D60,IF(W$9="Two",Two!$D60,IF(W$9="Three",Three!$D60,"")))</f>
        <v/>
      </c>
    </row>
    <row r="61" spans="3:23">
      <c r="C61" s="12"/>
      <c r="D61" s="14"/>
      <c r="E61" s="13" t="str">
        <f>IF(E$9="One",One!$D61,IF(E$9="Two",Two!$D61,IF(E$9="Three",Three!$D61,"")))</f>
        <v/>
      </c>
      <c r="F61" s="13" t="str">
        <f>IF(F$9="One",One!$D61,IF(F$9="Two",Two!$D61,IF(F$9="Three",Three!$D61,"")))</f>
        <v/>
      </c>
      <c r="G61" s="13" t="str">
        <f>IF(G$9="One",One!$D61,IF(G$9="Two",Two!$D61,IF(G$9="Three",Three!$D61,"")))</f>
        <v/>
      </c>
      <c r="H61" s="13" t="str">
        <f>IF(H$9="One",One!$D61,IF(H$9="Two",Two!$D61,IF(H$9="Three",Three!$D61,"")))</f>
        <v/>
      </c>
      <c r="I61" s="13" t="str">
        <f>IF(I$9="One",One!$D61,IF(I$9="Two",Two!$D61,IF(I$9="Three",Three!$D61,"")))</f>
        <v/>
      </c>
      <c r="J61" s="13" t="str">
        <f>IF(J$9="One",One!$D61,IF(J$9="Two",Two!$D61,IF(J$9="Three",Three!$D61,"")))</f>
        <v/>
      </c>
      <c r="K61" s="13" t="str">
        <f>IF(K$9="One",One!$D61,IF(K$9="Two",Two!$D61,IF(K$9="Three",Three!$D61,"")))</f>
        <v/>
      </c>
      <c r="L61" s="13" t="str">
        <f>IF(L$9="One",One!$D61,IF(L$9="Two",Two!$D61,IF(L$9="Three",Three!$D61,"")))</f>
        <v/>
      </c>
      <c r="M61" s="13" t="str">
        <f>IF(M$9="One",One!$D61,IF(M$9="Two",Two!$D61,IF(M$9="Three",Three!$D61,"")))</f>
        <v/>
      </c>
      <c r="N61" s="13" t="str">
        <f>IF(N$9="One",One!$D61,IF(N$9="Two",Two!$D61,IF(N$9="Three",Three!$D61,"")))</f>
        <v/>
      </c>
      <c r="O61" s="13" t="str">
        <f>IF(O$9="One",One!$D61,IF(O$9="Two",Two!$D61,IF(O$9="Three",Three!$D61,"")))</f>
        <v/>
      </c>
      <c r="P61" s="13" t="str">
        <f>IF(P$9="One",One!$D61,IF(P$9="Two",Two!$D61,IF(P$9="Three",Three!$D61,"")))</f>
        <v/>
      </c>
      <c r="Q61" s="13" t="str">
        <f>IF(Q$9="One",One!$D61,IF(Q$9="Two",Two!$D61,IF(Q$9="Three",Three!$D61,"")))</f>
        <v/>
      </c>
      <c r="R61" s="13" t="str">
        <f>IF(R$9="One",One!$D61,IF(R$9="Two",Two!$D61,IF(R$9="Three",Three!$D61,"")))</f>
        <v/>
      </c>
      <c r="S61" s="13" t="str">
        <f>IF(S$9="One",One!$D61,IF(S$9="Two",Two!$D61,IF(S$9="Three",Three!$D61,"")))</f>
        <v/>
      </c>
      <c r="T61" s="13" t="str">
        <f>IF(T$9="One",One!$D61,IF(T$9="Two",Two!$D61,IF(T$9="Three",Three!$D61,"")))</f>
        <v/>
      </c>
      <c r="U61" s="13" t="str">
        <f>IF(U$9="One",One!$D61,IF(U$9="Two",Two!$D61,IF(U$9="Three",Three!$D61,"")))</f>
        <v/>
      </c>
      <c r="V61" s="13" t="str">
        <f>IF(V$9="One",One!$D61,IF(V$9="Two",Two!$D61,IF(V$9="Three",Three!$D61,"")))</f>
        <v/>
      </c>
      <c r="W61" s="13" t="str">
        <f>IF(W$9="One",One!$D61,IF(W$9="Two",Two!$D61,IF(W$9="Three",Three!$D61,"")))</f>
        <v/>
      </c>
    </row>
    <row r="62" spans="3:23">
      <c r="C62" s="12"/>
      <c r="D62" s="14"/>
      <c r="E62" s="13" t="str">
        <f>IF(E$9="One",One!$D62,IF(E$9="Two",Two!$D62,IF(E$9="Three",Three!$D62,"")))</f>
        <v/>
      </c>
      <c r="F62" s="13" t="str">
        <f>IF(F$9="One",One!$D62,IF(F$9="Two",Two!$D62,IF(F$9="Three",Three!$D62,"")))</f>
        <v/>
      </c>
      <c r="G62" s="13" t="str">
        <f>IF(G$9="One",One!$D62,IF(G$9="Two",Two!$D62,IF(G$9="Three",Three!$D62,"")))</f>
        <v/>
      </c>
      <c r="H62" s="13" t="str">
        <f>IF(H$9="One",One!$D62,IF(H$9="Two",Two!$D62,IF(H$9="Three",Three!$D62,"")))</f>
        <v/>
      </c>
      <c r="I62" s="13" t="str">
        <f>IF(I$9="One",One!$D62,IF(I$9="Two",Two!$D62,IF(I$9="Three",Three!$D62,"")))</f>
        <v/>
      </c>
      <c r="J62" s="13" t="str">
        <f>IF(J$9="One",One!$D62,IF(J$9="Two",Two!$D62,IF(J$9="Three",Three!$D62,"")))</f>
        <v/>
      </c>
      <c r="K62" s="13" t="str">
        <f>IF(K$9="One",One!$D62,IF(K$9="Two",Two!$D62,IF(K$9="Three",Three!$D62,"")))</f>
        <v/>
      </c>
      <c r="L62" s="13" t="str">
        <f>IF(L$9="One",One!$D62,IF(L$9="Two",Two!$D62,IF(L$9="Three",Three!$D62,"")))</f>
        <v/>
      </c>
      <c r="M62" s="13" t="str">
        <f>IF(M$9="One",One!$D62,IF(M$9="Two",Two!$D62,IF(M$9="Three",Three!$D62,"")))</f>
        <v/>
      </c>
      <c r="N62" s="13" t="str">
        <f>IF(N$9="One",One!$D62,IF(N$9="Two",Two!$D62,IF(N$9="Three",Three!$D62,"")))</f>
        <v/>
      </c>
      <c r="O62" s="13" t="str">
        <f>IF(O$9="One",One!$D62,IF(O$9="Two",Two!$D62,IF(O$9="Three",Three!$D62,"")))</f>
        <v/>
      </c>
      <c r="P62" s="13" t="str">
        <f>IF(P$9="One",One!$D62,IF(P$9="Two",Two!$D62,IF(P$9="Three",Three!$D62,"")))</f>
        <v/>
      </c>
      <c r="Q62" s="13" t="str">
        <f>IF(Q$9="One",One!$D62,IF(Q$9="Two",Two!$D62,IF(Q$9="Three",Three!$D62,"")))</f>
        <v/>
      </c>
      <c r="R62" s="13" t="str">
        <f>IF(R$9="One",One!$D62,IF(R$9="Two",Two!$D62,IF(R$9="Three",Three!$D62,"")))</f>
        <v/>
      </c>
      <c r="S62" s="13" t="str">
        <f>IF(S$9="One",One!$D62,IF(S$9="Two",Two!$D62,IF(S$9="Three",Three!$D62,"")))</f>
        <v/>
      </c>
      <c r="T62" s="13" t="str">
        <f>IF(T$9="One",One!$D62,IF(T$9="Two",Two!$D62,IF(T$9="Three",Three!$D62,"")))</f>
        <v/>
      </c>
      <c r="U62" s="13" t="str">
        <f>IF(U$9="One",One!$D62,IF(U$9="Two",Two!$D62,IF(U$9="Three",Three!$D62,"")))</f>
        <v/>
      </c>
      <c r="V62" s="13" t="str">
        <f>IF(V$9="One",One!$D62,IF(V$9="Two",Two!$D62,IF(V$9="Three",Three!$D62,"")))</f>
        <v/>
      </c>
      <c r="W62" s="13" t="str">
        <f>IF(W$9="One",One!$D62,IF(W$9="Two",Two!$D62,IF(W$9="Three",Three!$D62,"")))</f>
        <v/>
      </c>
    </row>
    <row r="63" spans="3:23">
      <c r="C63" s="12"/>
      <c r="D63" s="14"/>
      <c r="E63" s="13" t="str">
        <f>IF(E$9="One",One!$D63,IF(E$9="Two",Two!$D63,IF(E$9="Three",Three!$D63,"")))</f>
        <v/>
      </c>
      <c r="F63" s="13" t="str">
        <f>IF(F$9="One",One!$D63,IF(F$9="Two",Two!$D63,IF(F$9="Three",Three!$D63,"")))</f>
        <v/>
      </c>
      <c r="G63" s="13" t="str">
        <f>IF(G$9="One",One!$D63,IF(G$9="Two",Two!$D63,IF(G$9="Three",Three!$D63,"")))</f>
        <v/>
      </c>
      <c r="H63" s="13" t="str">
        <f>IF(H$9="One",One!$D63,IF(H$9="Two",Two!$D63,IF(H$9="Three",Three!$D63,"")))</f>
        <v/>
      </c>
      <c r="I63" s="13" t="str">
        <f>IF(I$9="One",One!$D63,IF(I$9="Two",Two!$D63,IF(I$9="Three",Three!$D63,"")))</f>
        <v/>
      </c>
      <c r="J63" s="13" t="str">
        <f>IF(J$9="One",One!$D63,IF(J$9="Two",Two!$D63,IF(J$9="Three",Three!$D63,"")))</f>
        <v/>
      </c>
      <c r="K63" s="13" t="str">
        <f>IF(K$9="One",One!$D63,IF(K$9="Two",Two!$D63,IF(K$9="Three",Three!$D63,"")))</f>
        <v/>
      </c>
      <c r="L63" s="13" t="str">
        <f>IF(L$9="One",One!$D63,IF(L$9="Two",Two!$D63,IF(L$9="Three",Three!$D63,"")))</f>
        <v/>
      </c>
      <c r="M63" s="13" t="str">
        <f>IF(M$9="One",One!$D63,IF(M$9="Two",Two!$D63,IF(M$9="Three",Three!$D63,"")))</f>
        <v/>
      </c>
      <c r="N63" s="13" t="str">
        <f>IF(N$9="One",One!$D63,IF(N$9="Two",Two!$D63,IF(N$9="Three",Three!$D63,"")))</f>
        <v/>
      </c>
      <c r="O63" s="13" t="str">
        <f>IF(O$9="One",One!$D63,IF(O$9="Two",Two!$D63,IF(O$9="Three",Three!$D63,"")))</f>
        <v/>
      </c>
      <c r="P63" s="13" t="str">
        <f>IF(P$9="One",One!$D63,IF(P$9="Two",Two!$D63,IF(P$9="Three",Three!$D63,"")))</f>
        <v/>
      </c>
      <c r="Q63" s="13" t="str">
        <f>IF(Q$9="One",One!$D63,IF(Q$9="Two",Two!$D63,IF(Q$9="Three",Three!$D63,"")))</f>
        <v/>
      </c>
      <c r="R63" s="13" t="str">
        <f>IF(R$9="One",One!$D63,IF(R$9="Two",Two!$D63,IF(R$9="Three",Three!$D63,"")))</f>
        <v/>
      </c>
      <c r="S63" s="13" t="str">
        <f>IF(S$9="One",One!$D63,IF(S$9="Two",Two!$D63,IF(S$9="Three",Three!$D63,"")))</f>
        <v/>
      </c>
      <c r="T63" s="13" t="str">
        <f>IF(T$9="One",One!$D63,IF(T$9="Two",Two!$D63,IF(T$9="Three",Three!$D63,"")))</f>
        <v/>
      </c>
      <c r="U63" s="13" t="str">
        <f>IF(U$9="One",One!$D63,IF(U$9="Two",Two!$D63,IF(U$9="Three",Three!$D63,"")))</f>
        <v/>
      </c>
      <c r="V63" s="13" t="str">
        <f>IF(V$9="One",One!$D63,IF(V$9="Two",Two!$D63,IF(V$9="Three",Three!$D63,"")))</f>
        <v/>
      </c>
      <c r="W63" s="13" t="str">
        <f>IF(W$9="One",One!$D63,IF(W$9="Two",Two!$D63,IF(W$9="Three",Three!$D63,"")))</f>
        <v/>
      </c>
    </row>
    <row r="64" spans="3:23">
      <c r="C64" s="12"/>
      <c r="D64" s="14"/>
      <c r="E64" s="13" t="str">
        <f>IF(E$9="One",One!$D64,IF(E$9="Two",Two!$D64,IF(E$9="Three",Three!$D64,"")))</f>
        <v/>
      </c>
      <c r="F64" s="13" t="str">
        <f>IF(F$9="One",One!$D64,IF(F$9="Two",Two!$D64,IF(F$9="Three",Three!$D64,"")))</f>
        <v/>
      </c>
      <c r="G64" s="13" t="str">
        <f>IF(G$9="One",One!$D64,IF(G$9="Two",Two!$D64,IF(G$9="Three",Three!$D64,"")))</f>
        <v/>
      </c>
      <c r="H64" s="13" t="str">
        <f>IF(H$9="One",One!$D64,IF(H$9="Two",Two!$D64,IF(H$9="Three",Three!$D64,"")))</f>
        <v/>
      </c>
      <c r="I64" s="13" t="str">
        <f>IF(I$9="One",One!$D64,IF(I$9="Two",Two!$D64,IF(I$9="Three",Three!$D64,"")))</f>
        <v/>
      </c>
      <c r="J64" s="13" t="str">
        <f>IF(J$9="One",One!$D64,IF(J$9="Two",Two!$D64,IF(J$9="Three",Three!$D64,"")))</f>
        <v/>
      </c>
      <c r="K64" s="13" t="str">
        <f>IF(K$9="One",One!$D64,IF(K$9="Two",Two!$D64,IF(K$9="Three",Three!$D64,"")))</f>
        <v/>
      </c>
      <c r="L64" s="13" t="str">
        <f>IF(L$9="One",One!$D64,IF(L$9="Two",Two!$D64,IF(L$9="Three",Three!$D64,"")))</f>
        <v/>
      </c>
      <c r="M64" s="13" t="str">
        <f>IF(M$9="One",One!$D64,IF(M$9="Two",Two!$D64,IF(M$9="Three",Three!$D64,"")))</f>
        <v/>
      </c>
      <c r="N64" s="13" t="str">
        <f>IF(N$9="One",One!$D64,IF(N$9="Two",Two!$D64,IF(N$9="Three",Three!$D64,"")))</f>
        <v/>
      </c>
      <c r="O64" s="13" t="str">
        <f>IF(O$9="One",One!$D64,IF(O$9="Two",Two!$D64,IF(O$9="Three",Three!$D64,"")))</f>
        <v/>
      </c>
      <c r="P64" s="13" t="str">
        <f>IF(P$9="One",One!$D64,IF(P$9="Two",Two!$D64,IF(P$9="Three",Three!$D64,"")))</f>
        <v/>
      </c>
      <c r="Q64" s="13" t="str">
        <f>IF(Q$9="One",One!$D64,IF(Q$9="Two",Two!$D64,IF(Q$9="Three",Three!$D64,"")))</f>
        <v/>
      </c>
      <c r="R64" s="13" t="str">
        <f>IF(R$9="One",One!$D64,IF(R$9="Two",Two!$D64,IF(R$9="Three",Three!$D64,"")))</f>
        <v/>
      </c>
      <c r="S64" s="13" t="str">
        <f>IF(S$9="One",One!$D64,IF(S$9="Two",Two!$D64,IF(S$9="Three",Three!$D64,"")))</f>
        <v/>
      </c>
      <c r="T64" s="13" t="str">
        <f>IF(T$9="One",One!$D64,IF(T$9="Two",Two!$D64,IF(T$9="Three",Three!$D64,"")))</f>
        <v/>
      </c>
      <c r="U64" s="13" t="str">
        <f>IF(U$9="One",One!$D64,IF(U$9="Two",Two!$D64,IF(U$9="Three",Three!$D64,"")))</f>
        <v/>
      </c>
      <c r="V64" s="13" t="str">
        <f>IF(V$9="One",One!$D64,IF(V$9="Two",Two!$D64,IF(V$9="Three",Three!$D64,"")))</f>
        <v/>
      </c>
      <c r="W64" s="13" t="str">
        <f>IF(W$9="One",One!$D64,IF(W$9="Two",Two!$D64,IF(W$9="Three",Three!$D64,"")))</f>
        <v/>
      </c>
    </row>
    <row r="65" spans="3:23">
      <c r="C65" s="12"/>
      <c r="D65" s="14"/>
      <c r="E65" s="13" t="str">
        <f>IF(E$9="One",One!$D65,IF(E$9="Two",Two!$D65,IF(E$9="Three",Three!$D65,"")))</f>
        <v/>
      </c>
      <c r="F65" s="13" t="str">
        <f>IF(F$9="One",One!$D65,IF(F$9="Two",Two!$D65,IF(F$9="Three",Three!$D65,"")))</f>
        <v/>
      </c>
      <c r="G65" s="13" t="str">
        <f>IF(G$9="One",One!$D65,IF(G$9="Two",Two!$D65,IF(G$9="Three",Three!$D65,"")))</f>
        <v/>
      </c>
      <c r="H65" s="13" t="str">
        <f>IF(H$9="One",One!$D65,IF(H$9="Two",Two!$D65,IF(H$9="Three",Three!$D65,"")))</f>
        <v/>
      </c>
      <c r="I65" s="13" t="str">
        <f>IF(I$9="One",One!$D65,IF(I$9="Two",Two!$D65,IF(I$9="Three",Three!$D65,"")))</f>
        <v/>
      </c>
      <c r="J65" s="13" t="str">
        <f>IF(J$9="One",One!$D65,IF(J$9="Two",Two!$D65,IF(J$9="Three",Three!$D65,"")))</f>
        <v/>
      </c>
      <c r="K65" s="13" t="str">
        <f>IF(K$9="One",One!$D65,IF(K$9="Two",Two!$D65,IF(K$9="Three",Three!$D65,"")))</f>
        <v/>
      </c>
      <c r="L65" s="13" t="str">
        <f>IF(L$9="One",One!$D65,IF(L$9="Two",Two!$D65,IF(L$9="Three",Three!$D65,"")))</f>
        <v/>
      </c>
      <c r="M65" s="13" t="str">
        <f>IF(M$9="One",One!$D65,IF(M$9="Two",Two!$D65,IF(M$9="Three",Three!$D65,"")))</f>
        <v/>
      </c>
      <c r="N65" s="13" t="str">
        <f>IF(N$9="One",One!$D65,IF(N$9="Two",Two!$D65,IF(N$9="Three",Three!$D65,"")))</f>
        <v/>
      </c>
      <c r="O65" s="13" t="str">
        <f>IF(O$9="One",One!$D65,IF(O$9="Two",Two!$D65,IF(O$9="Three",Three!$D65,"")))</f>
        <v/>
      </c>
      <c r="P65" s="13" t="str">
        <f>IF(P$9="One",One!$D65,IF(P$9="Two",Two!$D65,IF(P$9="Three",Three!$D65,"")))</f>
        <v/>
      </c>
      <c r="Q65" s="13" t="str">
        <f>IF(Q$9="One",One!$D65,IF(Q$9="Two",Two!$D65,IF(Q$9="Three",Three!$D65,"")))</f>
        <v/>
      </c>
      <c r="R65" s="13" t="str">
        <f>IF(R$9="One",One!$D65,IF(R$9="Two",Two!$D65,IF(R$9="Three",Three!$D65,"")))</f>
        <v/>
      </c>
      <c r="S65" s="13" t="str">
        <f>IF(S$9="One",One!$D65,IF(S$9="Two",Two!$D65,IF(S$9="Three",Three!$D65,"")))</f>
        <v/>
      </c>
      <c r="T65" s="13" t="str">
        <f>IF(T$9="One",One!$D65,IF(T$9="Two",Two!$D65,IF(T$9="Three",Three!$D65,"")))</f>
        <v/>
      </c>
      <c r="U65" s="13" t="str">
        <f>IF(U$9="One",One!$D65,IF(U$9="Two",Two!$D65,IF(U$9="Three",Three!$D65,"")))</f>
        <v/>
      </c>
      <c r="V65" s="13" t="str">
        <f>IF(V$9="One",One!$D65,IF(V$9="Two",Two!$D65,IF(V$9="Three",Three!$D65,"")))</f>
        <v/>
      </c>
      <c r="W65" s="13" t="str">
        <f>IF(W$9="One",One!$D65,IF(W$9="Two",Two!$D65,IF(W$9="Three",Three!$D65,"")))</f>
        <v/>
      </c>
    </row>
    <row r="66" spans="3:23">
      <c r="C66" s="12"/>
      <c r="D66" s="14"/>
      <c r="E66" s="13" t="str">
        <f>IF(E$9="One",One!$D66,IF(E$9="Two",Two!$D66,IF(E$9="Three",Three!$D66,"")))</f>
        <v/>
      </c>
      <c r="F66" s="13" t="str">
        <f>IF(F$9="One",One!$D66,IF(F$9="Two",Two!$D66,IF(F$9="Three",Three!$D66,"")))</f>
        <v/>
      </c>
      <c r="G66" s="13" t="str">
        <f>IF(G$9="One",One!$D66,IF(G$9="Two",Two!$D66,IF(G$9="Three",Three!$D66,"")))</f>
        <v/>
      </c>
      <c r="H66" s="13" t="str">
        <f>IF(H$9="One",One!$D66,IF(H$9="Two",Two!$D66,IF(H$9="Three",Three!$D66,"")))</f>
        <v/>
      </c>
      <c r="I66" s="13" t="str">
        <f>IF(I$9="One",One!$D66,IF(I$9="Two",Two!$D66,IF(I$9="Three",Three!$D66,"")))</f>
        <v/>
      </c>
      <c r="J66" s="13" t="str">
        <f>IF(J$9="One",One!$D66,IF(J$9="Two",Two!$D66,IF(J$9="Three",Three!$D66,"")))</f>
        <v/>
      </c>
      <c r="K66" s="13" t="str">
        <f>IF(K$9="One",One!$D66,IF(K$9="Two",Two!$D66,IF(K$9="Three",Three!$D66,"")))</f>
        <v/>
      </c>
      <c r="L66" s="13" t="str">
        <f>IF(L$9="One",One!$D66,IF(L$9="Two",Two!$D66,IF(L$9="Three",Three!$D66,"")))</f>
        <v/>
      </c>
      <c r="M66" s="13" t="str">
        <f>IF(M$9="One",One!$D66,IF(M$9="Two",Two!$D66,IF(M$9="Three",Three!$D66,"")))</f>
        <v/>
      </c>
      <c r="N66" s="13" t="str">
        <f>IF(N$9="One",One!$D66,IF(N$9="Two",Two!$D66,IF(N$9="Three",Three!$D66,"")))</f>
        <v/>
      </c>
      <c r="O66" s="13" t="str">
        <f>IF(O$9="One",One!$D66,IF(O$9="Two",Two!$D66,IF(O$9="Three",Three!$D66,"")))</f>
        <v/>
      </c>
      <c r="P66" s="13" t="str">
        <f>IF(P$9="One",One!$D66,IF(P$9="Two",Two!$D66,IF(P$9="Three",Three!$D66,"")))</f>
        <v/>
      </c>
      <c r="Q66" s="13" t="str">
        <f>IF(Q$9="One",One!$D66,IF(Q$9="Two",Two!$D66,IF(Q$9="Three",Three!$D66,"")))</f>
        <v/>
      </c>
      <c r="R66" s="13" t="str">
        <f>IF(R$9="One",One!$D66,IF(R$9="Two",Two!$D66,IF(R$9="Three",Three!$D66,"")))</f>
        <v/>
      </c>
      <c r="S66" s="13" t="str">
        <f>IF(S$9="One",One!$D66,IF(S$9="Two",Two!$D66,IF(S$9="Three",Three!$D66,"")))</f>
        <v/>
      </c>
      <c r="T66" s="13" t="str">
        <f>IF(T$9="One",One!$D66,IF(T$9="Two",Two!$D66,IF(T$9="Three",Three!$D66,"")))</f>
        <v/>
      </c>
      <c r="U66" s="13" t="str">
        <f>IF(U$9="One",One!$D66,IF(U$9="Two",Two!$D66,IF(U$9="Three",Three!$D66,"")))</f>
        <v/>
      </c>
      <c r="V66" s="13" t="str">
        <f>IF(V$9="One",One!$D66,IF(V$9="Two",Two!$D66,IF(V$9="Three",Three!$D66,"")))</f>
        <v/>
      </c>
      <c r="W66" s="13" t="str">
        <f>IF(W$9="One",One!$D66,IF(W$9="Two",Two!$D66,IF(W$9="Three",Three!$D66,"")))</f>
        <v/>
      </c>
    </row>
    <row r="67" spans="3:23">
      <c r="C67" s="12"/>
      <c r="D67" s="14"/>
      <c r="E67" s="13" t="str">
        <f>IF(E$9="One",One!$D67,IF(E$9="Two",Two!$D67,IF(E$9="Three",Three!$D67,"")))</f>
        <v/>
      </c>
      <c r="F67" s="13" t="str">
        <f>IF(F$9="One",One!$D67,IF(F$9="Two",Two!$D67,IF(F$9="Three",Three!$D67,"")))</f>
        <v/>
      </c>
      <c r="G67" s="13" t="str">
        <f>IF(G$9="One",One!$D67,IF(G$9="Two",Two!$D67,IF(G$9="Three",Three!$D67,"")))</f>
        <v/>
      </c>
      <c r="H67" s="13" t="str">
        <f>IF(H$9="One",One!$D67,IF(H$9="Two",Two!$D67,IF(H$9="Three",Three!$D67,"")))</f>
        <v/>
      </c>
      <c r="I67" s="13" t="str">
        <f>IF(I$9="One",One!$D67,IF(I$9="Two",Two!$D67,IF(I$9="Three",Three!$D67,"")))</f>
        <v/>
      </c>
      <c r="J67" s="13" t="str">
        <f>IF(J$9="One",One!$D67,IF(J$9="Two",Two!$D67,IF(J$9="Three",Three!$D67,"")))</f>
        <v/>
      </c>
      <c r="K67" s="13" t="str">
        <f>IF(K$9="One",One!$D67,IF(K$9="Two",Two!$D67,IF(K$9="Three",Three!$D67,"")))</f>
        <v/>
      </c>
      <c r="L67" s="13" t="str">
        <f>IF(L$9="One",One!$D67,IF(L$9="Two",Two!$D67,IF(L$9="Three",Three!$D67,"")))</f>
        <v/>
      </c>
      <c r="M67" s="13" t="str">
        <f>IF(M$9="One",One!$D67,IF(M$9="Two",Two!$D67,IF(M$9="Three",Three!$D67,"")))</f>
        <v/>
      </c>
      <c r="N67" s="13" t="str">
        <f>IF(N$9="One",One!$D67,IF(N$9="Two",Two!$D67,IF(N$9="Three",Three!$D67,"")))</f>
        <v/>
      </c>
      <c r="O67" s="13" t="str">
        <f>IF(O$9="One",One!$D67,IF(O$9="Two",Two!$D67,IF(O$9="Three",Three!$D67,"")))</f>
        <v/>
      </c>
      <c r="P67" s="13" t="str">
        <f>IF(P$9="One",One!$D67,IF(P$9="Two",Two!$D67,IF(P$9="Three",Three!$D67,"")))</f>
        <v/>
      </c>
      <c r="Q67" s="13" t="str">
        <f>IF(Q$9="One",One!$D67,IF(Q$9="Two",Two!$D67,IF(Q$9="Three",Three!$D67,"")))</f>
        <v/>
      </c>
      <c r="R67" s="13" t="str">
        <f>IF(R$9="One",One!$D67,IF(R$9="Two",Two!$D67,IF(R$9="Three",Three!$D67,"")))</f>
        <v/>
      </c>
      <c r="S67" s="13" t="str">
        <f>IF(S$9="One",One!$D67,IF(S$9="Two",Two!$D67,IF(S$9="Three",Three!$D67,"")))</f>
        <v/>
      </c>
      <c r="T67" s="13" t="str">
        <f>IF(T$9="One",One!$D67,IF(T$9="Two",Two!$D67,IF(T$9="Three",Three!$D67,"")))</f>
        <v/>
      </c>
      <c r="U67" s="13" t="str">
        <f>IF(U$9="One",One!$D67,IF(U$9="Two",Two!$D67,IF(U$9="Three",Three!$D67,"")))</f>
        <v/>
      </c>
      <c r="V67" s="13" t="str">
        <f>IF(V$9="One",One!$D67,IF(V$9="Two",Two!$D67,IF(V$9="Three",Three!$D67,"")))</f>
        <v/>
      </c>
      <c r="W67" s="13" t="str">
        <f>IF(W$9="One",One!$D67,IF(W$9="Two",Two!$D67,IF(W$9="Three",Three!$D67,"")))</f>
        <v/>
      </c>
    </row>
    <row r="68" spans="3:23">
      <c r="C68" s="12"/>
      <c r="D68" s="14"/>
      <c r="E68" s="13" t="str">
        <f>IF(E$9="One",One!$D68,IF(E$9="Two",Two!$D68,IF(E$9="Three",Three!$D68,"")))</f>
        <v/>
      </c>
      <c r="F68" s="13" t="str">
        <f>IF(F$9="One",One!$D68,IF(F$9="Two",Two!$D68,IF(F$9="Three",Three!$D68,"")))</f>
        <v/>
      </c>
      <c r="G68" s="13" t="str">
        <f>IF(G$9="One",One!$D68,IF(G$9="Two",Two!$D68,IF(G$9="Three",Three!$D68,"")))</f>
        <v/>
      </c>
      <c r="H68" s="13" t="str">
        <f>IF(H$9="One",One!$D68,IF(H$9="Two",Two!$D68,IF(H$9="Three",Three!$D68,"")))</f>
        <v/>
      </c>
      <c r="I68" s="13" t="str">
        <f>IF(I$9="One",One!$D68,IF(I$9="Two",Two!$D68,IF(I$9="Three",Three!$D68,"")))</f>
        <v/>
      </c>
      <c r="J68" s="13" t="str">
        <f>IF(J$9="One",One!$D68,IF(J$9="Two",Two!$D68,IF(J$9="Three",Three!$D68,"")))</f>
        <v/>
      </c>
      <c r="K68" s="13" t="str">
        <f>IF(K$9="One",One!$D68,IF(K$9="Two",Two!$D68,IF(K$9="Three",Three!$D68,"")))</f>
        <v/>
      </c>
      <c r="L68" s="13" t="str">
        <f>IF(L$9="One",One!$D68,IF(L$9="Two",Two!$D68,IF(L$9="Three",Three!$D68,"")))</f>
        <v/>
      </c>
      <c r="M68" s="13" t="str">
        <f>IF(M$9="One",One!$D68,IF(M$9="Two",Two!$D68,IF(M$9="Three",Three!$D68,"")))</f>
        <v/>
      </c>
      <c r="N68" s="13" t="str">
        <f>IF(N$9="One",One!$D68,IF(N$9="Two",Two!$D68,IF(N$9="Three",Three!$D68,"")))</f>
        <v/>
      </c>
      <c r="O68" s="13" t="str">
        <f>IF(O$9="One",One!$D68,IF(O$9="Two",Two!$D68,IF(O$9="Three",Three!$D68,"")))</f>
        <v/>
      </c>
      <c r="P68" s="13" t="str">
        <f>IF(P$9="One",One!$D68,IF(P$9="Two",Two!$D68,IF(P$9="Three",Three!$D68,"")))</f>
        <v/>
      </c>
      <c r="Q68" s="13" t="str">
        <f>IF(Q$9="One",One!$D68,IF(Q$9="Two",Two!$D68,IF(Q$9="Three",Three!$D68,"")))</f>
        <v/>
      </c>
      <c r="R68" s="13" t="str">
        <f>IF(R$9="One",One!$D68,IF(R$9="Two",Two!$D68,IF(R$9="Three",Three!$D68,"")))</f>
        <v/>
      </c>
      <c r="S68" s="13" t="str">
        <f>IF(S$9="One",One!$D68,IF(S$9="Two",Two!$D68,IF(S$9="Three",Three!$D68,"")))</f>
        <v/>
      </c>
      <c r="T68" s="13" t="str">
        <f>IF(T$9="One",One!$D68,IF(T$9="Two",Two!$D68,IF(T$9="Three",Three!$D68,"")))</f>
        <v/>
      </c>
      <c r="U68" s="13" t="str">
        <f>IF(U$9="One",One!$D68,IF(U$9="Two",Two!$D68,IF(U$9="Three",Three!$D68,"")))</f>
        <v/>
      </c>
      <c r="V68" s="13" t="str">
        <f>IF(V$9="One",One!$D68,IF(V$9="Two",Two!$D68,IF(V$9="Three",Three!$D68,"")))</f>
        <v/>
      </c>
      <c r="W68" s="13" t="str">
        <f>IF(W$9="One",One!$D68,IF(W$9="Two",Two!$D68,IF(W$9="Three",Three!$D68,"")))</f>
        <v/>
      </c>
    </row>
    <row r="69" spans="3:23">
      <c r="C69" s="12"/>
      <c r="D69" s="14"/>
      <c r="E69" s="13" t="str">
        <f>IF(E$9="One",One!$D69,IF(E$9="Two",Two!$D69,IF(E$9="Three",Three!$D69,"")))</f>
        <v/>
      </c>
      <c r="F69" s="13" t="str">
        <f>IF(F$9="One",One!$D69,IF(F$9="Two",Two!$D69,IF(F$9="Three",Three!$D69,"")))</f>
        <v/>
      </c>
      <c r="G69" s="13" t="str">
        <f>IF(G$9="One",One!$D69,IF(G$9="Two",Two!$D69,IF(G$9="Three",Three!$D69,"")))</f>
        <v/>
      </c>
      <c r="H69" s="13" t="str">
        <f>IF(H$9="One",One!$D69,IF(H$9="Two",Two!$D69,IF(H$9="Three",Three!$D69,"")))</f>
        <v/>
      </c>
      <c r="I69" s="13" t="str">
        <f>IF(I$9="One",One!$D69,IF(I$9="Two",Two!$D69,IF(I$9="Three",Three!$D69,"")))</f>
        <v/>
      </c>
      <c r="J69" s="13" t="str">
        <f>IF(J$9="One",One!$D69,IF(J$9="Two",Two!$D69,IF(J$9="Three",Three!$D69,"")))</f>
        <v/>
      </c>
      <c r="K69" s="13" t="str">
        <f>IF(K$9="One",One!$D69,IF(K$9="Two",Two!$D69,IF(K$9="Three",Three!$D69,"")))</f>
        <v/>
      </c>
      <c r="L69" s="13" t="str">
        <f>IF(L$9="One",One!$D69,IF(L$9="Two",Two!$D69,IF(L$9="Three",Three!$D69,"")))</f>
        <v/>
      </c>
      <c r="M69" s="13" t="str">
        <f>IF(M$9="One",One!$D69,IF(M$9="Two",Two!$D69,IF(M$9="Three",Three!$D69,"")))</f>
        <v/>
      </c>
      <c r="N69" s="13" t="str">
        <f>IF(N$9="One",One!$D69,IF(N$9="Two",Two!$D69,IF(N$9="Three",Three!$D69,"")))</f>
        <v/>
      </c>
      <c r="O69" s="13" t="str">
        <f>IF(O$9="One",One!$D69,IF(O$9="Two",Two!$D69,IF(O$9="Three",Three!$D69,"")))</f>
        <v/>
      </c>
      <c r="P69" s="13" t="str">
        <f>IF(P$9="One",One!$D69,IF(P$9="Two",Two!$D69,IF(P$9="Three",Three!$D69,"")))</f>
        <v/>
      </c>
      <c r="Q69" s="13" t="str">
        <f>IF(Q$9="One",One!$D69,IF(Q$9="Two",Two!$D69,IF(Q$9="Three",Three!$D69,"")))</f>
        <v/>
      </c>
      <c r="R69" s="13" t="str">
        <f>IF(R$9="One",One!$D69,IF(R$9="Two",Two!$D69,IF(R$9="Three",Three!$D69,"")))</f>
        <v/>
      </c>
      <c r="S69" s="13" t="str">
        <f>IF(S$9="One",One!$D69,IF(S$9="Two",Two!$D69,IF(S$9="Three",Three!$D69,"")))</f>
        <v/>
      </c>
      <c r="T69" s="13" t="str">
        <f>IF(T$9="One",One!$D69,IF(T$9="Two",Two!$D69,IF(T$9="Three",Three!$D69,"")))</f>
        <v/>
      </c>
      <c r="U69" s="13" t="str">
        <f>IF(U$9="One",One!$D69,IF(U$9="Two",Two!$D69,IF(U$9="Three",Three!$D69,"")))</f>
        <v/>
      </c>
      <c r="V69" s="13" t="str">
        <f>IF(V$9="One",One!$D69,IF(V$9="Two",Two!$D69,IF(V$9="Three",Three!$D69,"")))</f>
        <v/>
      </c>
      <c r="W69" s="13" t="str">
        <f>IF(W$9="One",One!$D69,IF(W$9="Two",Two!$D69,IF(W$9="Three",Three!$D69,"")))</f>
        <v/>
      </c>
    </row>
    <row r="70" spans="3:23">
      <c r="C70" s="12"/>
      <c r="D70" s="14"/>
      <c r="E70" s="13" t="str">
        <f>IF(E$9="One",One!$D70,IF(E$9="Two",Two!$D70,IF(E$9="Three",Three!$D70,"")))</f>
        <v/>
      </c>
      <c r="F70" s="13" t="str">
        <f>IF(F$9="One",One!$D70,IF(F$9="Two",Two!$D70,IF(F$9="Three",Three!$D70,"")))</f>
        <v/>
      </c>
      <c r="G70" s="13" t="str">
        <f>IF(G$9="One",One!$D70,IF(G$9="Two",Two!$D70,IF(G$9="Three",Three!$D70,"")))</f>
        <v/>
      </c>
      <c r="H70" s="13" t="str">
        <f>IF(H$9="One",One!$D70,IF(H$9="Two",Two!$D70,IF(H$9="Three",Three!$D70,"")))</f>
        <v/>
      </c>
      <c r="I70" s="13" t="str">
        <f>IF(I$9="One",One!$D70,IF(I$9="Two",Two!$D70,IF(I$9="Three",Three!$D70,"")))</f>
        <v/>
      </c>
      <c r="J70" s="13" t="str">
        <f>IF(J$9="One",One!$D70,IF(J$9="Two",Two!$D70,IF(J$9="Three",Three!$D70,"")))</f>
        <v/>
      </c>
      <c r="K70" s="13" t="str">
        <f>IF(K$9="One",One!$D70,IF(K$9="Two",Two!$D70,IF(K$9="Three",Three!$D70,"")))</f>
        <v/>
      </c>
      <c r="L70" s="13" t="str">
        <f>IF(L$9="One",One!$D70,IF(L$9="Two",Two!$D70,IF(L$9="Three",Three!$D70,"")))</f>
        <v/>
      </c>
      <c r="M70" s="13" t="str">
        <f>IF(M$9="One",One!$D70,IF(M$9="Two",Two!$D70,IF(M$9="Three",Three!$D70,"")))</f>
        <v/>
      </c>
      <c r="N70" s="13" t="str">
        <f>IF(N$9="One",One!$D70,IF(N$9="Two",Two!$D70,IF(N$9="Three",Three!$D70,"")))</f>
        <v/>
      </c>
      <c r="O70" s="13" t="str">
        <f>IF(O$9="One",One!$D70,IF(O$9="Two",Two!$D70,IF(O$9="Three",Three!$D70,"")))</f>
        <v/>
      </c>
      <c r="P70" s="13" t="str">
        <f>IF(P$9="One",One!$D70,IF(P$9="Two",Two!$D70,IF(P$9="Three",Three!$D70,"")))</f>
        <v/>
      </c>
      <c r="Q70" s="13" t="str">
        <f>IF(Q$9="One",One!$D70,IF(Q$9="Two",Two!$D70,IF(Q$9="Three",Three!$D70,"")))</f>
        <v/>
      </c>
      <c r="R70" s="13" t="str">
        <f>IF(R$9="One",One!$D70,IF(R$9="Two",Two!$D70,IF(R$9="Three",Three!$D70,"")))</f>
        <v/>
      </c>
      <c r="S70" s="13" t="str">
        <f>IF(S$9="One",One!$D70,IF(S$9="Two",Two!$D70,IF(S$9="Three",Three!$D70,"")))</f>
        <v/>
      </c>
      <c r="T70" s="13" t="str">
        <f>IF(T$9="One",One!$D70,IF(T$9="Two",Two!$D70,IF(T$9="Three",Three!$D70,"")))</f>
        <v/>
      </c>
      <c r="U70" s="13" t="str">
        <f>IF(U$9="One",One!$D70,IF(U$9="Two",Two!$D70,IF(U$9="Three",Three!$D70,"")))</f>
        <v/>
      </c>
      <c r="V70" s="13" t="str">
        <f>IF(V$9="One",One!$D70,IF(V$9="Two",Two!$D70,IF(V$9="Three",Three!$D70,"")))</f>
        <v/>
      </c>
      <c r="W70" s="13" t="str">
        <f>IF(W$9="One",One!$D70,IF(W$9="Two",Two!$D70,IF(W$9="Three",Three!$D70,"")))</f>
        <v/>
      </c>
    </row>
    <row r="71" spans="3:23">
      <c r="C71" s="12"/>
      <c r="D71" s="14"/>
      <c r="E71" s="13" t="str">
        <f>IF(E$9="One",One!$D71,IF(E$9="Two",Two!$D71,IF(E$9="Three",Three!$D71,"")))</f>
        <v/>
      </c>
      <c r="F71" s="13" t="str">
        <f>IF(F$9="One",One!$D71,IF(F$9="Two",Two!$D71,IF(F$9="Three",Three!$D71,"")))</f>
        <v/>
      </c>
      <c r="G71" s="13" t="str">
        <f>IF(G$9="One",One!$D71,IF(G$9="Two",Two!$D71,IF(G$9="Three",Three!$D71,"")))</f>
        <v/>
      </c>
      <c r="H71" s="13" t="str">
        <f>IF(H$9="One",One!$D71,IF(H$9="Two",Two!$D71,IF(H$9="Three",Three!$D71,"")))</f>
        <v/>
      </c>
      <c r="I71" s="13" t="str">
        <f>IF(I$9="One",One!$D71,IF(I$9="Two",Two!$D71,IF(I$9="Three",Three!$D71,"")))</f>
        <v/>
      </c>
      <c r="J71" s="13" t="str">
        <f>IF(J$9="One",One!$D71,IF(J$9="Two",Two!$D71,IF(J$9="Three",Three!$D71,"")))</f>
        <v/>
      </c>
      <c r="K71" s="13" t="str">
        <f>IF(K$9="One",One!$D71,IF(K$9="Two",Two!$D71,IF(K$9="Three",Three!$D71,"")))</f>
        <v/>
      </c>
      <c r="L71" s="13" t="str">
        <f>IF(L$9="One",One!$D71,IF(L$9="Two",Two!$D71,IF(L$9="Three",Three!$D71,"")))</f>
        <v/>
      </c>
      <c r="M71" s="13" t="str">
        <f>IF(M$9="One",One!$D71,IF(M$9="Two",Two!$D71,IF(M$9="Three",Three!$D71,"")))</f>
        <v/>
      </c>
      <c r="N71" s="13" t="str">
        <f>IF(N$9="One",One!$D71,IF(N$9="Two",Two!$D71,IF(N$9="Three",Three!$D71,"")))</f>
        <v/>
      </c>
      <c r="O71" s="13" t="str">
        <f>IF(O$9="One",One!$D71,IF(O$9="Two",Two!$D71,IF(O$9="Three",Three!$D71,"")))</f>
        <v/>
      </c>
      <c r="P71" s="13" t="str">
        <f>IF(P$9="One",One!$D71,IF(P$9="Two",Two!$D71,IF(P$9="Three",Three!$D71,"")))</f>
        <v/>
      </c>
      <c r="Q71" s="13" t="str">
        <f>IF(Q$9="One",One!$D71,IF(Q$9="Two",Two!$D71,IF(Q$9="Three",Three!$D71,"")))</f>
        <v/>
      </c>
      <c r="R71" s="13" t="str">
        <f>IF(R$9="One",One!$D71,IF(R$9="Two",Two!$D71,IF(R$9="Three",Three!$D71,"")))</f>
        <v/>
      </c>
      <c r="S71" s="13" t="str">
        <f>IF(S$9="One",One!$D71,IF(S$9="Two",Two!$D71,IF(S$9="Three",Three!$D71,"")))</f>
        <v/>
      </c>
      <c r="T71" s="13" t="str">
        <f>IF(T$9="One",One!$D71,IF(T$9="Two",Two!$D71,IF(T$9="Three",Three!$D71,"")))</f>
        <v/>
      </c>
      <c r="U71" s="13" t="str">
        <f>IF(U$9="One",One!$D71,IF(U$9="Two",Two!$D71,IF(U$9="Three",Three!$D71,"")))</f>
        <v/>
      </c>
      <c r="V71" s="13" t="str">
        <f>IF(V$9="One",One!$D71,IF(V$9="Two",Two!$D71,IF(V$9="Three",Three!$D71,"")))</f>
        <v/>
      </c>
      <c r="W71" s="13" t="str">
        <f>IF(W$9="One",One!$D71,IF(W$9="Two",Two!$D71,IF(W$9="Three",Three!$D71,"")))</f>
        <v/>
      </c>
    </row>
    <row r="72" spans="3:23">
      <c r="C72" s="12"/>
      <c r="D72" s="14"/>
      <c r="E72" s="13" t="str">
        <f>IF(E$9="One",One!$D72,IF(E$9="Two",Two!$D72,IF(E$9="Three",Three!$D72,"")))</f>
        <v/>
      </c>
      <c r="F72" s="13" t="str">
        <f>IF(F$9="One",One!$D72,IF(F$9="Two",Two!$D72,IF(F$9="Three",Three!$D72,"")))</f>
        <v/>
      </c>
      <c r="G72" s="13" t="str">
        <f>IF(G$9="One",One!$D72,IF(G$9="Two",Two!$D72,IF(G$9="Three",Three!$D72,"")))</f>
        <v/>
      </c>
      <c r="H72" s="13" t="str">
        <f>IF(H$9="One",One!$D72,IF(H$9="Two",Two!$D72,IF(H$9="Three",Three!$D72,"")))</f>
        <v/>
      </c>
      <c r="I72" s="13" t="str">
        <f>IF(I$9="One",One!$D72,IF(I$9="Two",Two!$D72,IF(I$9="Three",Three!$D72,"")))</f>
        <v/>
      </c>
      <c r="J72" s="13" t="str">
        <f>IF(J$9="One",One!$D72,IF(J$9="Two",Two!$D72,IF(J$9="Three",Three!$D72,"")))</f>
        <v/>
      </c>
      <c r="K72" s="13" t="str">
        <f>IF(K$9="One",One!$D72,IF(K$9="Two",Two!$D72,IF(K$9="Three",Three!$D72,"")))</f>
        <v/>
      </c>
      <c r="L72" s="13" t="str">
        <f>IF(L$9="One",One!$D72,IF(L$9="Two",Two!$D72,IF(L$9="Three",Three!$D72,"")))</f>
        <v/>
      </c>
      <c r="M72" s="13" t="str">
        <f>IF(M$9="One",One!$D72,IF(M$9="Two",Two!$D72,IF(M$9="Three",Three!$D72,"")))</f>
        <v/>
      </c>
      <c r="N72" s="13" t="str">
        <f>IF(N$9="One",One!$D72,IF(N$9="Two",Two!$D72,IF(N$9="Three",Three!$D72,"")))</f>
        <v/>
      </c>
      <c r="O72" s="13" t="str">
        <f>IF(O$9="One",One!$D72,IF(O$9="Two",Two!$D72,IF(O$9="Three",Three!$D72,"")))</f>
        <v/>
      </c>
      <c r="P72" s="13" t="str">
        <f>IF(P$9="One",One!$D72,IF(P$9="Two",Two!$D72,IF(P$9="Three",Three!$D72,"")))</f>
        <v/>
      </c>
      <c r="Q72" s="13" t="str">
        <f>IF(Q$9="One",One!$D72,IF(Q$9="Two",Two!$D72,IF(Q$9="Three",Three!$D72,"")))</f>
        <v/>
      </c>
      <c r="R72" s="13" t="str">
        <f>IF(R$9="One",One!$D72,IF(R$9="Two",Two!$D72,IF(R$9="Three",Three!$D72,"")))</f>
        <v/>
      </c>
      <c r="S72" s="13" t="str">
        <f>IF(S$9="One",One!$D72,IF(S$9="Two",Two!$D72,IF(S$9="Three",Three!$D72,"")))</f>
        <v/>
      </c>
      <c r="T72" s="13" t="str">
        <f>IF(T$9="One",One!$D72,IF(T$9="Two",Two!$D72,IF(T$9="Three",Three!$D72,"")))</f>
        <v/>
      </c>
      <c r="U72" s="13" t="str">
        <f>IF(U$9="One",One!$D72,IF(U$9="Two",Two!$D72,IF(U$9="Three",Three!$D72,"")))</f>
        <v/>
      </c>
      <c r="V72" s="13" t="str">
        <f>IF(V$9="One",One!$D72,IF(V$9="Two",Two!$D72,IF(V$9="Three",Three!$D72,"")))</f>
        <v/>
      </c>
      <c r="W72" s="13" t="str">
        <f>IF(W$9="One",One!$D72,IF(W$9="Two",Two!$D72,IF(W$9="Three",Three!$D72,"")))</f>
        <v/>
      </c>
    </row>
    <row r="73" spans="3:23">
      <c r="C73" s="12"/>
      <c r="D73" s="14"/>
      <c r="E73" s="13" t="str">
        <f>IF(E$9="One",One!$D73,IF(E$9="Two",Two!$D73,IF(E$9="Three",Three!$D73,"")))</f>
        <v/>
      </c>
      <c r="F73" s="13" t="str">
        <f>IF(F$9="One",One!$D73,IF(F$9="Two",Two!$D73,IF(F$9="Three",Three!$D73,"")))</f>
        <v/>
      </c>
      <c r="G73" s="13" t="str">
        <f>IF(G$9="One",One!$D73,IF(G$9="Two",Two!$D73,IF(G$9="Three",Three!$D73,"")))</f>
        <v/>
      </c>
      <c r="H73" s="13" t="str">
        <f>IF(H$9="One",One!$D73,IF(H$9="Two",Two!$D73,IF(H$9="Three",Three!$D73,"")))</f>
        <v/>
      </c>
      <c r="I73" s="13" t="str">
        <f>IF(I$9="One",One!$D73,IF(I$9="Two",Two!$D73,IF(I$9="Three",Three!$D73,"")))</f>
        <v/>
      </c>
      <c r="J73" s="13" t="str">
        <f>IF(J$9="One",One!$D73,IF(J$9="Two",Two!$D73,IF(J$9="Three",Three!$D73,"")))</f>
        <v/>
      </c>
      <c r="K73" s="13" t="str">
        <f>IF(K$9="One",One!$D73,IF(K$9="Two",Two!$D73,IF(K$9="Three",Three!$D73,"")))</f>
        <v/>
      </c>
      <c r="L73" s="13" t="str">
        <f>IF(L$9="One",One!$D73,IF(L$9="Two",Two!$D73,IF(L$9="Three",Three!$D73,"")))</f>
        <v/>
      </c>
      <c r="M73" s="13" t="str">
        <f>IF(M$9="One",One!$D73,IF(M$9="Two",Two!$D73,IF(M$9="Three",Three!$D73,"")))</f>
        <v/>
      </c>
      <c r="N73" s="13" t="str">
        <f>IF(N$9="One",One!$D73,IF(N$9="Two",Two!$D73,IF(N$9="Three",Three!$D73,"")))</f>
        <v/>
      </c>
      <c r="O73" s="13" t="str">
        <f>IF(O$9="One",One!$D73,IF(O$9="Two",Two!$D73,IF(O$9="Three",Three!$D73,"")))</f>
        <v/>
      </c>
      <c r="P73" s="13" t="str">
        <f>IF(P$9="One",One!$D73,IF(P$9="Two",Two!$D73,IF(P$9="Three",Three!$D73,"")))</f>
        <v/>
      </c>
      <c r="Q73" s="13" t="str">
        <f>IF(Q$9="One",One!$D73,IF(Q$9="Two",Two!$D73,IF(Q$9="Three",Three!$D73,"")))</f>
        <v/>
      </c>
      <c r="R73" s="13" t="str">
        <f>IF(R$9="One",One!$D73,IF(R$9="Two",Two!$D73,IF(R$9="Three",Three!$D73,"")))</f>
        <v/>
      </c>
      <c r="S73" s="13" t="str">
        <f>IF(S$9="One",One!$D73,IF(S$9="Two",Two!$D73,IF(S$9="Three",Three!$D73,"")))</f>
        <v/>
      </c>
      <c r="T73" s="13" t="str">
        <f>IF(T$9="One",One!$D73,IF(T$9="Two",Two!$D73,IF(T$9="Three",Three!$D73,"")))</f>
        <v/>
      </c>
      <c r="U73" s="13" t="str">
        <f>IF(U$9="One",One!$D73,IF(U$9="Two",Two!$D73,IF(U$9="Three",Three!$D73,"")))</f>
        <v/>
      </c>
      <c r="V73" s="13" t="str">
        <f>IF(V$9="One",One!$D73,IF(V$9="Two",Two!$D73,IF(V$9="Three",Three!$D73,"")))</f>
        <v/>
      </c>
      <c r="W73" s="13" t="str">
        <f>IF(W$9="One",One!$D73,IF(W$9="Two",Two!$D73,IF(W$9="Three",Three!$D73,"")))</f>
        <v/>
      </c>
    </row>
    <row r="74" spans="3:23">
      <c r="C74" s="12"/>
      <c r="D74" s="14"/>
      <c r="E74" s="13" t="str">
        <f>IF(E$9="One",One!$D74,IF(E$9="Two",Two!$D74,IF(E$9="Three",Three!$D74,"")))</f>
        <v/>
      </c>
      <c r="F74" s="13" t="str">
        <f>IF(F$9="One",One!$D74,IF(F$9="Two",Two!$D74,IF(F$9="Three",Three!$D74,"")))</f>
        <v/>
      </c>
      <c r="G74" s="13" t="str">
        <f>IF(G$9="One",One!$D74,IF(G$9="Two",Two!$D74,IF(G$9="Three",Three!$D74,"")))</f>
        <v/>
      </c>
      <c r="H74" s="13" t="str">
        <f>IF(H$9="One",One!$D74,IF(H$9="Two",Two!$D74,IF(H$9="Three",Three!$D74,"")))</f>
        <v/>
      </c>
      <c r="I74" s="13" t="str">
        <f>IF(I$9="One",One!$D74,IF(I$9="Two",Two!$D74,IF(I$9="Three",Three!$D74,"")))</f>
        <v/>
      </c>
      <c r="J74" s="13" t="str">
        <f>IF(J$9="One",One!$D74,IF(J$9="Two",Two!$D74,IF(J$9="Three",Three!$D74,"")))</f>
        <v/>
      </c>
      <c r="K74" s="13" t="str">
        <f>IF(K$9="One",One!$D74,IF(K$9="Two",Two!$D74,IF(K$9="Three",Three!$D74,"")))</f>
        <v/>
      </c>
      <c r="L74" s="13" t="str">
        <f>IF(L$9="One",One!$D74,IF(L$9="Two",Two!$D74,IF(L$9="Three",Three!$D74,"")))</f>
        <v/>
      </c>
      <c r="M74" s="13" t="str">
        <f>IF(M$9="One",One!$D74,IF(M$9="Two",Two!$D74,IF(M$9="Three",Three!$D74,"")))</f>
        <v/>
      </c>
      <c r="N74" s="13" t="str">
        <f>IF(N$9="One",One!$D74,IF(N$9="Two",Two!$D74,IF(N$9="Three",Three!$D74,"")))</f>
        <v/>
      </c>
      <c r="O74" s="13" t="str">
        <f>IF(O$9="One",One!$D74,IF(O$9="Two",Two!$D74,IF(O$9="Three",Three!$D74,"")))</f>
        <v/>
      </c>
      <c r="P74" s="13" t="str">
        <f>IF(P$9="One",One!$D74,IF(P$9="Two",Two!$D74,IF(P$9="Three",Three!$D74,"")))</f>
        <v/>
      </c>
      <c r="Q74" s="13" t="str">
        <f>IF(Q$9="One",One!$D74,IF(Q$9="Two",Two!$D74,IF(Q$9="Three",Three!$D74,"")))</f>
        <v/>
      </c>
      <c r="R74" s="13" t="str">
        <f>IF(R$9="One",One!$D74,IF(R$9="Two",Two!$D74,IF(R$9="Three",Three!$D74,"")))</f>
        <v/>
      </c>
      <c r="S74" s="13" t="str">
        <f>IF(S$9="One",One!$D74,IF(S$9="Two",Two!$D74,IF(S$9="Three",Three!$D74,"")))</f>
        <v/>
      </c>
      <c r="T74" s="13" t="str">
        <f>IF(T$9="One",One!$D74,IF(T$9="Two",Two!$D74,IF(T$9="Three",Three!$D74,"")))</f>
        <v/>
      </c>
      <c r="U74" s="13" t="str">
        <f>IF(U$9="One",One!$D74,IF(U$9="Two",Two!$D74,IF(U$9="Three",Three!$D74,"")))</f>
        <v/>
      </c>
      <c r="V74" s="13" t="str">
        <f>IF(V$9="One",One!$D74,IF(V$9="Two",Two!$D74,IF(V$9="Three",Three!$D74,"")))</f>
        <v/>
      </c>
      <c r="W74" s="13" t="str">
        <f>IF(W$9="One",One!$D74,IF(W$9="Two",Two!$D74,IF(W$9="Three",Three!$D74,"")))</f>
        <v/>
      </c>
    </row>
    <row r="75" spans="3:23">
      <c r="C75" s="12"/>
      <c r="D75" s="14"/>
      <c r="E75" s="13" t="str">
        <f>IF(E$9="One",One!$D75,IF(E$9="Two",Two!$D75,IF(E$9="Three",Three!$D75,"")))</f>
        <v/>
      </c>
      <c r="F75" s="13" t="str">
        <f>IF(F$9="One",One!$D75,IF(F$9="Two",Two!$D75,IF(F$9="Three",Three!$D75,"")))</f>
        <v/>
      </c>
      <c r="G75" s="13" t="str">
        <f>IF(G$9="One",One!$D75,IF(G$9="Two",Two!$D75,IF(G$9="Three",Three!$D75,"")))</f>
        <v/>
      </c>
      <c r="H75" s="13" t="str">
        <f>IF(H$9="One",One!$D75,IF(H$9="Two",Two!$D75,IF(H$9="Three",Three!$D75,"")))</f>
        <v/>
      </c>
      <c r="I75" s="13" t="str">
        <f>IF(I$9="One",One!$D75,IF(I$9="Two",Two!$D75,IF(I$9="Three",Three!$D75,"")))</f>
        <v/>
      </c>
      <c r="J75" s="13" t="str">
        <f>IF(J$9="One",One!$D75,IF(J$9="Two",Two!$D75,IF(J$9="Three",Three!$D75,"")))</f>
        <v/>
      </c>
      <c r="K75" s="13" t="str">
        <f>IF(K$9="One",One!$D75,IF(K$9="Two",Two!$D75,IF(K$9="Three",Three!$D75,"")))</f>
        <v/>
      </c>
      <c r="L75" s="13" t="str">
        <f>IF(L$9="One",One!$D75,IF(L$9="Two",Two!$D75,IF(L$9="Three",Three!$D75,"")))</f>
        <v/>
      </c>
      <c r="M75" s="13" t="str">
        <f>IF(M$9="One",One!$D75,IF(M$9="Two",Two!$D75,IF(M$9="Three",Three!$D75,"")))</f>
        <v/>
      </c>
      <c r="N75" s="13" t="str">
        <f>IF(N$9="One",One!$D75,IF(N$9="Two",Two!$D75,IF(N$9="Three",Three!$D75,"")))</f>
        <v/>
      </c>
      <c r="O75" s="13" t="str">
        <f>IF(O$9="One",One!$D75,IF(O$9="Two",Two!$D75,IF(O$9="Three",Three!$D75,"")))</f>
        <v/>
      </c>
      <c r="P75" s="13" t="str">
        <f>IF(P$9="One",One!$D75,IF(P$9="Two",Two!$D75,IF(P$9="Three",Three!$D75,"")))</f>
        <v/>
      </c>
      <c r="Q75" s="13" t="str">
        <f>IF(Q$9="One",One!$D75,IF(Q$9="Two",Two!$D75,IF(Q$9="Three",Three!$D75,"")))</f>
        <v/>
      </c>
      <c r="R75" s="13" t="str">
        <f>IF(R$9="One",One!$D75,IF(R$9="Two",Two!$D75,IF(R$9="Three",Three!$D75,"")))</f>
        <v/>
      </c>
      <c r="S75" s="13" t="str">
        <f>IF(S$9="One",One!$D75,IF(S$9="Two",Two!$D75,IF(S$9="Three",Three!$D75,"")))</f>
        <v/>
      </c>
      <c r="T75" s="13" t="str">
        <f>IF(T$9="One",One!$D75,IF(T$9="Two",Two!$D75,IF(T$9="Three",Three!$D75,"")))</f>
        <v/>
      </c>
      <c r="U75" s="13" t="str">
        <f>IF(U$9="One",One!$D75,IF(U$9="Two",Two!$D75,IF(U$9="Three",Three!$D75,"")))</f>
        <v/>
      </c>
      <c r="V75" s="13" t="str">
        <f>IF(V$9="One",One!$D75,IF(V$9="Two",Two!$D75,IF(V$9="Three",Three!$D75,"")))</f>
        <v/>
      </c>
      <c r="W75" s="13" t="str">
        <f>IF(W$9="One",One!$D75,IF(W$9="Two",Two!$D75,IF(W$9="Three",Three!$D75,"")))</f>
        <v/>
      </c>
    </row>
    <row r="76" spans="3:23">
      <c r="C76" s="12"/>
      <c r="D76" s="14"/>
      <c r="E76" s="13" t="str">
        <f>IF(E$9="One",One!$D76,IF(E$9="Two",Two!$D76,IF(E$9="Three",Three!$D76,"")))</f>
        <v/>
      </c>
      <c r="F76" s="13" t="str">
        <f>IF(F$9="One",One!$D76,IF(F$9="Two",Two!$D76,IF(F$9="Three",Three!$D76,"")))</f>
        <v/>
      </c>
      <c r="G76" s="13" t="str">
        <f>IF(G$9="One",One!$D76,IF(G$9="Two",Two!$D76,IF(G$9="Three",Three!$D76,"")))</f>
        <v/>
      </c>
      <c r="H76" s="13" t="str">
        <f>IF(H$9="One",One!$D76,IF(H$9="Two",Two!$D76,IF(H$9="Three",Three!$D76,"")))</f>
        <v/>
      </c>
      <c r="I76" s="13" t="str">
        <f>IF(I$9="One",One!$D76,IF(I$9="Two",Two!$D76,IF(I$9="Three",Three!$D76,"")))</f>
        <v/>
      </c>
      <c r="J76" s="13" t="str">
        <f>IF(J$9="One",One!$D76,IF(J$9="Two",Two!$D76,IF(J$9="Three",Three!$D76,"")))</f>
        <v/>
      </c>
      <c r="K76" s="13" t="str">
        <f>IF(K$9="One",One!$D76,IF(K$9="Two",Two!$D76,IF(K$9="Three",Three!$D76,"")))</f>
        <v/>
      </c>
      <c r="L76" s="13" t="str">
        <f>IF(L$9="One",One!$D76,IF(L$9="Two",Two!$D76,IF(L$9="Three",Three!$D76,"")))</f>
        <v/>
      </c>
      <c r="M76" s="13" t="str">
        <f>IF(M$9="One",One!$D76,IF(M$9="Two",Two!$D76,IF(M$9="Three",Three!$D76,"")))</f>
        <v/>
      </c>
      <c r="N76" s="13" t="str">
        <f>IF(N$9="One",One!$D76,IF(N$9="Two",Two!$D76,IF(N$9="Three",Three!$D76,"")))</f>
        <v/>
      </c>
      <c r="O76" s="13" t="str">
        <f>IF(O$9="One",One!$D76,IF(O$9="Two",Two!$D76,IF(O$9="Three",Three!$D76,"")))</f>
        <v/>
      </c>
      <c r="P76" s="13" t="str">
        <f>IF(P$9="One",One!$D76,IF(P$9="Two",Two!$D76,IF(P$9="Three",Three!$D76,"")))</f>
        <v/>
      </c>
      <c r="Q76" s="13" t="str">
        <f>IF(Q$9="One",One!$D76,IF(Q$9="Two",Two!$D76,IF(Q$9="Three",Three!$D76,"")))</f>
        <v/>
      </c>
      <c r="R76" s="13" t="str">
        <f>IF(R$9="One",One!$D76,IF(R$9="Two",Two!$D76,IF(R$9="Three",Three!$D76,"")))</f>
        <v/>
      </c>
      <c r="S76" s="13" t="str">
        <f>IF(S$9="One",One!$D76,IF(S$9="Two",Two!$D76,IF(S$9="Three",Three!$D76,"")))</f>
        <v/>
      </c>
      <c r="T76" s="13" t="str">
        <f>IF(T$9="One",One!$D76,IF(T$9="Two",Two!$D76,IF(T$9="Three",Three!$D76,"")))</f>
        <v/>
      </c>
      <c r="U76" s="13" t="str">
        <f>IF(U$9="One",One!$D76,IF(U$9="Two",Two!$D76,IF(U$9="Three",Three!$D76,"")))</f>
        <v/>
      </c>
      <c r="V76" s="13" t="str">
        <f>IF(V$9="One",One!$D76,IF(V$9="Two",Two!$D76,IF(V$9="Three",Three!$D76,"")))</f>
        <v/>
      </c>
      <c r="W76" s="13" t="str">
        <f>IF(W$9="One",One!$D76,IF(W$9="Two",Two!$D76,IF(W$9="Three",Three!$D76,"")))</f>
        <v/>
      </c>
    </row>
    <row r="77" spans="3:23">
      <c r="C77" s="12"/>
      <c r="D77" s="14"/>
      <c r="E77" s="13" t="str">
        <f>IF(E$9="One",One!$D77,IF(E$9="Two",Two!$D77,IF(E$9="Three",Three!$D77,"")))</f>
        <v/>
      </c>
      <c r="F77" s="13" t="str">
        <f>IF(F$9="One",One!$D77,IF(F$9="Two",Two!$D77,IF(F$9="Three",Three!$D77,"")))</f>
        <v/>
      </c>
      <c r="G77" s="13" t="str">
        <f>IF(G$9="One",One!$D77,IF(G$9="Two",Two!$D77,IF(G$9="Three",Three!$D77,"")))</f>
        <v/>
      </c>
      <c r="H77" s="13" t="str">
        <f>IF(H$9="One",One!$D77,IF(H$9="Two",Two!$D77,IF(H$9="Three",Three!$D77,"")))</f>
        <v/>
      </c>
      <c r="I77" s="13" t="str">
        <f>IF(I$9="One",One!$D77,IF(I$9="Two",Two!$D77,IF(I$9="Three",Three!$D77,"")))</f>
        <v/>
      </c>
      <c r="J77" s="13" t="str">
        <f>IF(J$9="One",One!$D77,IF(J$9="Two",Two!$D77,IF(J$9="Three",Three!$D77,"")))</f>
        <v/>
      </c>
      <c r="K77" s="13" t="str">
        <f>IF(K$9="One",One!$D77,IF(K$9="Two",Two!$D77,IF(K$9="Three",Three!$D77,"")))</f>
        <v/>
      </c>
      <c r="L77" s="13" t="str">
        <f>IF(L$9="One",One!$D77,IF(L$9="Two",Two!$D77,IF(L$9="Three",Three!$D77,"")))</f>
        <v/>
      </c>
      <c r="M77" s="13" t="str">
        <f>IF(M$9="One",One!$D77,IF(M$9="Two",Two!$D77,IF(M$9="Three",Three!$D77,"")))</f>
        <v/>
      </c>
      <c r="N77" s="13" t="str">
        <f>IF(N$9="One",One!$D77,IF(N$9="Two",Two!$D77,IF(N$9="Three",Three!$D77,"")))</f>
        <v/>
      </c>
      <c r="O77" s="13" t="str">
        <f>IF(O$9="One",One!$D77,IF(O$9="Two",Two!$D77,IF(O$9="Three",Three!$D77,"")))</f>
        <v/>
      </c>
      <c r="P77" s="13" t="str">
        <f>IF(P$9="One",One!$D77,IF(P$9="Two",Two!$D77,IF(P$9="Three",Three!$D77,"")))</f>
        <v/>
      </c>
      <c r="Q77" s="13" t="str">
        <f>IF(Q$9="One",One!$D77,IF(Q$9="Two",Two!$D77,IF(Q$9="Three",Three!$D77,"")))</f>
        <v/>
      </c>
      <c r="R77" s="13" t="str">
        <f>IF(R$9="One",One!$D77,IF(R$9="Two",Two!$D77,IF(R$9="Three",Three!$D77,"")))</f>
        <v/>
      </c>
      <c r="S77" s="13" t="str">
        <f>IF(S$9="One",One!$D77,IF(S$9="Two",Two!$D77,IF(S$9="Three",Three!$D77,"")))</f>
        <v/>
      </c>
      <c r="T77" s="13" t="str">
        <f>IF(T$9="One",One!$D77,IF(T$9="Two",Two!$D77,IF(T$9="Three",Three!$D77,"")))</f>
        <v/>
      </c>
      <c r="U77" s="13" t="str">
        <f>IF(U$9="One",One!$D77,IF(U$9="Two",Two!$D77,IF(U$9="Three",Three!$D77,"")))</f>
        <v/>
      </c>
      <c r="V77" s="13" t="str">
        <f>IF(V$9="One",One!$D77,IF(V$9="Two",Two!$D77,IF(V$9="Three",Three!$D77,"")))</f>
        <v/>
      </c>
      <c r="W77" s="13" t="str">
        <f>IF(W$9="One",One!$D77,IF(W$9="Two",Two!$D77,IF(W$9="Three",Three!$D77,"")))</f>
        <v/>
      </c>
    </row>
    <row r="78" spans="3:23">
      <c r="C78" s="12"/>
      <c r="D78" s="14"/>
      <c r="E78" s="13" t="str">
        <f>IF(E$9="One",One!$D78,IF(E$9="Two",Two!$D78,IF(E$9="Three",Three!$D78,"")))</f>
        <v/>
      </c>
      <c r="F78" s="13" t="str">
        <f>IF(F$9="One",One!$D78,IF(F$9="Two",Two!$D78,IF(F$9="Three",Three!$D78,"")))</f>
        <v/>
      </c>
      <c r="G78" s="13" t="str">
        <f>IF(G$9="One",One!$D78,IF(G$9="Two",Two!$D78,IF(G$9="Three",Three!$D78,"")))</f>
        <v/>
      </c>
      <c r="H78" s="13" t="str">
        <f>IF(H$9="One",One!$D78,IF(H$9="Two",Two!$D78,IF(H$9="Three",Three!$D78,"")))</f>
        <v/>
      </c>
      <c r="I78" s="13" t="str">
        <f>IF(I$9="One",One!$D78,IF(I$9="Two",Two!$D78,IF(I$9="Three",Three!$D78,"")))</f>
        <v/>
      </c>
      <c r="J78" s="13" t="str">
        <f>IF(J$9="One",One!$D78,IF(J$9="Two",Two!$D78,IF(J$9="Three",Three!$D78,"")))</f>
        <v/>
      </c>
      <c r="K78" s="13" t="str">
        <f>IF(K$9="One",One!$D78,IF(K$9="Two",Two!$D78,IF(K$9="Three",Three!$D78,"")))</f>
        <v/>
      </c>
      <c r="L78" s="13" t="str">
        <f>IF(L$9="One",One!$D78,IF(L$9="Two",Two!$D78,IF(L$9="Three",Three!$D78,"")))</f>
        <v/>
      </c>
      <c r="M78" s="13" t="str">
        <f>IF(M$9="One",One!$D78,IF(M$9="Two",Two!$D78,IF(M$9="Three",Three!$D78,"")))</f>
        <v/>
      </c>
      <c r="N78" s="13" t="str">
        <f>IF(N$9="One",One!$D78,IF(N$9="Two",Two!$D78,IF(N$9="Three",Three!$D78,"")))</f>
        <v/>
      </c>
      <c r="O78" s="13" t="str">
        <f>IF(O$9="One",One!$D78,IF(O$9="Two",Two!$D78,IF(O$9="Three",Three!$D78,"")))</f>
        <v/>
      </c>
      <c r="P78" s="13" t="str">
        <f>IF(P$9="One",One!$D78,IF(P$9="Two",Two!$D78,IF(P$9="Three",Three!$D78,"")))</f>
        <v/>
      </c>
      <c r="Q78" s="13" t="str">
        <f>IF(Q$9="One",One!$D78,IF(Q$9="Two",Two!$D78,IF(Q$9="Three",Three!$D78,"")))</f>
        <v/>
      </c>
      <c r="R78" s="13" t="str">
        <f>IF(R$9="One",One!$D78,IF(R$9="Two",Two!$D78,IF(R$9="Three",Three!$D78,"")))</f>
        <v/>
      </c>
      <c r="S78" s="13" t="str">
        <f>IF(S$9="One",One!$D78,IF(S$9="Two",Two!$D78,IF(S$9="Three",Three!$D78,"")))</f>
        <v/>
      </c>
      <c r="T78" s="13" t="str">
        <f>IF(T$9="One",One!$D78,IF(T$9="Two",Two!$D78,IF(T$9="Three",Three!$D78,"")))</f>
        <v/>
      </c>
      <c r="U78" s="13" t="str">
        <f>IF(U$9="One",One!$D78,IF(U$9="Two",Two!$D78,IF(U$9="Three",Three!$D78,"")))</f>
        <v/>
      </c>
      <c r="V78" s="13" t="str">
        <f>IF(V$9="One",One!$D78,IF(V$9="Two",Two!$D78,IF(V$9="Three",Three!$D78,"")))</f>
        <v/>
      </c>
      <c r="W78" s="13" t="str">
        <f>IF(W$9="One",One!$D78,IF(W$9="Two",Two!$D78,IF(W$9="Three",Three!$D78,"")))</f>
        <v/>
      </c>
    </row>
    <row r="79" spans="3:23">
      <c r="C79" s="12"/>
      <c r="D79" s="14"/>
      <c r="E79" s="13" t="str">
        <f>IF(E$9="One",One!$D79,IF(E$9="Two",Two!$D79,IF(E$9="Three",Three!$D79,"")))</f>
        <v/>
      </c>
      <c r="F79" s="13" t="str">
        <f>IF(F$9="One",One!$D79,IF(F$9="Two",Two!$D79,IF(F$9="Three",Three!$D79,"")))</f>
        <v/>
      </c>
      <c r="G79" s="13" t="str">
        <f>IF(G$9="One",One!$D79,IF(G$9="Two",Two!$D79,IF(G$9="Three",Three!$D79,"")))</f>
        <v/>
      </c>
      <c r="H79" s="13" t="str">
        <f>IF(H$9="One",One!$D79,IF(H$9="Two",Two!$D79,IF(H$9="Three",Three!$D79,"")))</f>
        <v/>
      </c>
      <c r="I79" s="13" t="str">
        <f>IF(I$9="One",One!$D79,IF(I$9="Two",Two!$D79,IF(I$9="Three",Three!$D79,"")))</f>
        <v/>
      </c>
      <c r="J79" s="13" t="str">
        <f>IF(J$9="One",One!$D79,IF(J$9="Two",Two!$D79,IF(J$9="Three",Three!$D79,"")))</f>
        <v/>
      </c>
      <c r="K79" s="13" t="str">
        <f>IF(K$9="One",One!$D79,IF(K$9="Two",Two!$D79,IF(K$9="Three",Three!$D79,"")))</f>
        <v/>
      </c>
      <c r="L79" s="13" t="str">
        <f>IF(L$9="One",One!$D79,IF(L$9="Two",Two!$D79,IF(L$9="Three",Three!$D79,"")))</f>
        <v/>
      </c>
      <c r="M79" s="13" t="str">
        <f>IF(M$9="One",One!$D79,IF(M$9="Two",Two!$D79,IF(M$9="Three",Three!$D79,"")))</f>
        <v/>
      </c>
      <c r="N79" s="13" t="str">
        <f>IF(N$9="One",One!$D79,IF(N$9="Two",Two!$D79,IF(N$9="Three",Three!$D79,"")))</f>
        <v/>
      </c>
      <c r="O79" s="13" t="str">
        <f>IF(O$9="One",One!$D79,IF(O$9="Two",Two!$D79,IF(O$9="Three",Three!$D79,"")))</f>
        <v/>
      </c>
      <c r="P79" s="13" t="str">
        <f>IF(P$9="One",One!$D79,IF(P$9="Two",Two!$D79,IF(P$9="Three",Three!$D79,"")))</f>
        <v/>
      </c>
      <c r="Q79" s="13" t="str">
        <f>IF(Q$9="One",One!$D79,IF(Q$9="Two",Two!$D79,IF(Q$9="Three",Three!$D79,"")))</f>
        <v/>
      </c>
      <c r="R79" s="13" t="str">
        <f>IF(R$9="One",One!$D79,IF(R$9="Two",Two!$D79,IF(R$9="Three",Three!$D79,"")))</f>
        <v/>
      </c>
      <c r="S79" s="13" t="str">
        <f>IF(S$9="One",One!$D79,IF(S$9="Two",Two!$D79,IF(S$9="Three",Three!$D79,"")))</f>
        <v/>
      </c>
      <c r="T79" s="13" t="str">
        <f>IF(T$9="One",One!$D79,IF(T$9="Two",Two!$D79,IF(T$9="Three",Three!$D79,"")))</f>
        <v/>
      </c>
      <c r="U79" s="13" t="str">
        <f>IF(U$9="One",One!$D79,IF(U$9="Two",Two!$D79,IF(U$9="Three",Three!$D79,"")))</f>
        <v/>
      </c>
      <c r="V79" s="13" t="str">
        <f>IF(V$9="One",One!$D79,IF(V$9="Two",Two!$D79,IF(V$9="Three",Three!$D79,"")))</f>
        <v/>
      </c>
      <c r="W79" s="13" t="str">
        <f>IF(W$9="One",One!$D79,IF(W$9="Two",Two!$D79,IF(W$9="Three",Three!$D79,"")))</f>
        <v/>
      </c>
    </row>
    <row r="80" spans="3:23">
      <c r="C80" s="12"/>
      <c r="D80" s="14"/>
      <c r="E80" s="13" t="str">
        <f>IF(E$9="One",One!$D80,IF(E$9="Two",Two!$D80,IF(E$9="Three",Three!$D80,"")))</f>
        <v/>
      </c>
      <c r="F80" s="13" t="str">
        <f>IF(F$9="One",One!$D80,IF(F$9="Two",Two!$D80,IF(F$9="Three",Three!$D80,"")))</f>
        <v/>
      </c>
      <c r="G80" s="13" t="str">
        <f>IF(G$9="One",One!$D80,IF(G$9="Two",Two!$D80,IF(G$9="Three",Three!$D80,"")))</f>
        <v/>
      </c>
      <c r="H80" s="13" t="str">
        <f>IF(H$9="One",One!$D80,IF(H$9="Two",Two!$D80,IF(H$9="Three",Three!$D80,"")))</f>
        <v/>
      </c>
      <c r="I80" s="13" t="str">
        <f>IF(I$9="One",One!$D80,IF(I$9="Two",Two!$D80,IF(I$9="Three",Three!$D80,"")))</f>
        <v/>
      </c>
      <c r="J80" s="13" t="str">
        <f>IF(J$9="One",One!$D80,IF(J$9="Two",Two!$D80,IF(J$9="Three",Three!$D80,"")))</f>
        <v/>
      </c>
      <c r="K80" s="13" t="str">
        <f>IF(K$9="One",One!$D80,IF(K$9="Two",Two!$D80,IF(K$9="Three",Three!$D80,"")))</f>
        <v/>
      </c>
      <c r="L80" s="13" t="str">
        <f>IF(L$9="One",One!$D80,IF(L$9="Two",Two!$D80,IF(L$9="Three",Three!$D80,"")))</f>
        <v/>
      </c>
      <c r="M80" s="13" t="str">
        <f>IF(M$9="One",One!$D80,IF(M$9="Two",Two!$D80,IF(M$9="Three",Three!$D80,"")))</f>
        <v/>
      </c>
      <c r="N80" s="13" t="str">
        <f>IF(N$9="One",One!$D80,IF(N$9="Two",Two!$D80,IF(N$9="Three",Three!$D80,"")))</f>
        <v/>
      </c>
      <c r="O80" s="13" t="str">
        <f>IF(O$9="One",One!$D80,IF(O$9="Two",Two!$D80,IF(O$9="Three",Three!$D80,"")))</f>
        <v/>
      </c>
      <c r="P80" s="13" t="str">
        <f>IF(P$9="One",One!$D80,IF(P$9="Two",Two!$D80,IF(P$9="Three",Three!$D80,"")))</f>
        <v/>
      </c>
      <c r="Q80" s="13" t="str">
        <f>IF(Q$9="One",One!$D80,IF(Q$9="Two",Two!$D80,IF(Q$9="Three",Three!$D80,"")))</f>
        <v/>
      </c>
      <c r="R80" s="13" t="str">
        <f>IF(R$9="One",One!$D80,IF(R$9="Two",Two!$D80,IF(R$9="Three",Three!$D80,"")))</f>
        <v/>
      </c>
      <c r="S80" s="13" t="str">
        <f>IF(S$9="One",One!$D80,IF(S$9="Two",Two!$D80,IF(S$9="Three",Three!$D80,"")))</f>
        <v/>
      </c>
      <c r="T80" s="13" t="str">
        <f>IF(T$9="One",One!$D80,IF(T$9="Two",Two!$D80,IF(T$9="Three",Three!$D80,"")))</f>
        <v/>
      </c>
      <c r="U80" s="13" t="str">
        <f>IF(U$9="One",One!$D80,IF(U$9="Two",Two!$D80,IF(U$9="Three",Three!$D80,"")))</f>
        <v/>
      </c>
      <c r="V80" s="13" t="str">
        <f>IF(V$9="One",One!$D80,IF(V$9="Two",Two!$D80,IF(V$9="Three",Three!$D80,"")))</f>
        <v/>
      </c>
      <c r="W80" s="13" t="str">
        <f>IF(W$9="One",One!$D80,IF(W$9="Two",Two!$D80,IF(W$9="Three",Three!$D80,"")))</f>
        <v/>
      </c>
    </row>
    <row r="81" spans="3:23">
      <c r="C81" s="12"/>
      <c r="D81" s="14"/>
      <c r="E81" s="13" t="str">
        <f>IF(E$9="One",One!$D81,IF(E$9="Two",Two!$D81,IF(E$9="Three",Three!$D81,"")))</f>
        <v/>
      </c>
      <c r="F81" s="13" t="str">
        <f>IF(F$9="One",One!$D81,IF(F$9="Two",Two!$D81,IF(F$9="Three",Three!$D81,"")))</f>
        <v/>
      </c>
      <c r="G81" s="13" t="str">
        <f>IF(G$9="One",One!$D81,IF(G$9="Two",Two!$D81,IF(G$9="Three",Three!$D81,"")))</f>
        <v/>
      </c>
      <c r="H81" s="13" t="str">
        <f>IF(H$9="One",One!$D81,IF(H$9="Two",Two!$D81,IF(H$9="Three",Three!$D81,"")))</f>
        <v/>
      </c>
      <c r="I81" s="13" t="str">
        <f>IF(I$9="One",One!$D81,IF(I$9="Two",Two!$D81,IF(I$9="Three",Three!$D81,"")))</f>
        <v/>
      </c>
      <c r="J81" s="13" t="str">
        <f>IF(J$9="One",One!$D81,IF(J$9="Two",Two!$D81,IF(J$9="Three",Three!$D81,"")))</f>
        <v/>
      </c>
      <c r="K81" s="13" t="str">
        <f>IF(K$9="One",One!$D81,IF(K$9="Two",Two!$D81,IF(K$9="Three",Three!$D81,"")))</f>
        <v/>
      </c>
      <c r="L81" s="13" t="str">
        <f>IF(L$9="One",One!$D81,IF(L$9="Two",Two!$D81,IF(L$9="Three",Three!$D81,"")))</f>
        <v/>
      </c>
      <c r="M81" s="13" t="str">
        <f>IF(M$9="One",One!$D81,IF(M$9="Two",Two!$D81,IF(M$9="Three",Three!$D81,"")))</f>
        <v/>
      </c>
      <c r="N81" s="13" t="str">
        <f>IF(N$9="One",One!$D81,IF(N$9="Two",Two!$D81,IF(N$9="Three",Three!$D81,"")))</f>
        <v/>
      </c>
      <c r="O81" s="13" t="str">
        <f>IF(O$9="One",One!$D81,IF(O$9="Two",Two!$D81,IF(O$9="Three",Three!$D81,"")))</f>
        <v/>
      </c>
      <c r="P81" s="13" t="str">
        <f>IF(P$9="One",One!$D81,IF(P$9="Two",Two!$D81,IF(P$9="Three",Three!$D81,"")))</f>
        <v/>
      </c>
      <c r="Q81" s="13" t="str">
        <f>IF(Q$9="One",One!$D81,IF(Q$9="Two",Two!$D81,IF(Q$9="Three",Three!$D81,"")))</f>
        <v/>
      </c>
      <c r="R81" s="13" t="str">
        <f>IF(R$9="One",One!$D81,IF(R$9="Two",Two!$D81,IF(R$9="Three",Three!$D81,"")))</f>
        <v/>
      </c>
      <c r="S81" s="13" t="str">
        <f>IF(S$9="One",One!$D81,IF(S$9="Two",Two!$D81,IF(S$9="Three",Three!$D81,"")))</f>
        <v/>
      </c>
      <c r="T81" s="13" t="str">
        <f>IF(T$9="One",One!$D81,IF(T$9="Two",Two!$D81,IF(T$9="Three",Three!$D81,"")))</f>
        <v/>
      </c>
      <c r="U81" s="13" t="str">
        <f>IF(U$9="One",One!$D81,IF(U$9="Two",Two!$D81,IF(U$9="Three",Three!$D81,"")))</f>
        <v/>
      </c>
      <c r="V81" s="13" t="str">
        <f>IF(V$9="One",One!$D81,IF(V$9="Two",Two!$D81,IF(V$9="Three",Three!$D81,"")))</f>
        <v/>
      </c>
      <c r="W81" s="13" t="str">
        <f>IF(W$9="One",One!$D81,IF(W$9="Two",Two!$D81,IF(W$9="Three",Three!$D81,"")))</f>
        <v/>
      </c>
    </row>
    <row r="82" spans="3:23">
      <c r="C82" s="12"/>
      <c r="D82" s="14"/>
      <c r="E82" s="13" t="str">
        <f>IF(E$9="One",One!$D82,IF(E$9="Two",Two!$D82,IF(E$9="Three",Three!$D82,"")))</f>
        <v/>
      </c>
      <c r="F82" s="13" t="str">
        <f>IF(F$9="One",One!$D82,IF(F$9="Two",Two!$D82,IF(F$9="Three",Three!$D82,"")))</f>
        <v/>
      </c>
      <c r="G82" s="13" t="str">
        <f>IF(G$9="One",One!$D82,IF(G$9="Two",Two!$D82,IF(G$9="Three",Three!$D82,"")))</f>
        <v/>
      </c>
      <c r="H82" s="13" t="str">
        <f>IF(H$9="One",One!$D82,IF(H$9="Two",Two!$D82,IF(H$9="Three",Three!$D82,"")))</f>
        <v/>
      </c>
      <c r="I82" s="13" t="str">
        <f>IF(I$9="One",One!$D82,IF(I$9="Two",Two!$D82,IF(I$9="Three",Three!$D82,"")))</f>
        <v/>
      </c>
      <c r="J82" s="13" t="str">
        <f>IF(J$9="One",One!$D82,IF(J$9="Two",Two!$D82,IF(J$9="Three",Three!$D82,"")))</f>
        <v/>
      </c>
      <c r="K82" s="13" t="str">
        <f>IF(K$9="One",One!$D82,IF(K$9="Two",Two!$D82,IF(K$9="Three",Three!$D82,"")))</f>
        <v/>
      </c>
      <c r="L82" s="13" t="str">
        <f>IF(L$9="One",One!$D82,IF(L$9="Two",Two!$D82,IF(L$9="Three",Three!$D82,"")))</f>
        <v/>
      </c>
      <c r="M82" s="13" t="str">
        <f>IF(M$9="One",One!$D82,IF(M$9="Two",Two!$D82,IF(M$9="Three",Three!$D82,"")))</f>
        <v/>
      </c>
      <c r="N82" s="13" t="str">
        <f>IF(N$9="One",One!$D82,IF(N$9="Two",Two!$D82,IF(N$9="Three",Three!$D82,"")))</f>
        <v/>
      </c>
      <c r="O82" s="13" t="str">
        <f>IF(O$9="One",One!$D82,IF(O$9="Two",Two!$D82,IF(O$9="Three",Three!$D82,"")))</f>
        <v/>
      </c>
      <c r="P82" s="13" t="str">
        <f>IF(P$9="One",One!$D82,IF(P$9="Two",Two!$D82,IF(P$9="Three",Three!$D82,"")))</f>
        <v/>
      </c>
      <c r="Q82" s="13" t="str">
        <f>IF(Q$9="One",One!$D82,IF(Q$9="Two",Two!$D82,IF(Q$9="Three",Three!$D82,"")))</f>
        <v/>
      </c>
      <c r="R82" s="13" t="str">
        <f>IF(R$9="One",One!$D82,IF(R$9="Two",Two!$D82,IF(R$9="Three",Three!$D82,"")))</f>
        <v/>
      </c>
      <c r="S82" s="13" t="str">
        <f>IF(S$9="One",One!$D82,IF(S$9="Two",Two!$D82,IF(S$9="Three",Three!$D82,"")))</f>
        <v/>
      </c>
      <c r="T82" s="13" t="str">
        <f>IF(T$9="One",One!$D82,IF(T$9="Two",Two!$D82,IF(T$9="Three",Three!$D82,"")))</f>
        <v/>
      </c>
      <c r="U82" s="13" t="str">
        <f>IF(U$9="One",One!$D82,IF(U$9="Two",Two!$D82,IF(U$9="Three",Three!$D82,"")))</f>
        <v/>
      </c>
      <c r="V82" s="13" t="str">
        <f>IF(V$9="One",One!$D82,IF(V$9="Two",Two!$D82,IF(V$9="Three",Three!$D82,"")))</f>
        <v/>
      </c>
      <c r="W82" s="13" t="str">
        <f>IF(W$9="One",One!$D82,IF(W$9="Two",Two!$D82,IF(W$9="Three",Three!$D82,"")))</f>
        <v/>
      </c>
    </row>
    <row r="83" spans="3:23">
      <c r="C83" s="12"/>
      <c r="D83" s="14"/>
      <c r="E83" s="13" t="str">
        <f>IF(E$9="One",One!$D83,IF(E$9="Two",Two!$D83,IF(E$9="Three",Three!$D83,"")))</f>
        <v/>
      </c>
      <c r="F83" s="13" t="str">
        <f>IF(F$9="One",One!$D83,IF(F$9="Two",Two!$D83,IF(F$9="Three",Three!$D83,"")))</f>
        <v/>
      </c>
      <c r="G83" s="13" t="str">
        <f>IF(G$9="One",One!$D83,IF(G$9="Two",Two!$D83,IF(G$9="Three",Three!$D83,"")))</f>
        <v/>
      </c>
      <c r="H83" s="13" t="str">
        <f>IF(H$9="One",One!$D83,IF(H$9="Two",Two!$D83,IF(H$9="Three",Three!$D83,"")))</f>
        <v/>
      </c>
      <c r="I83" s="13" t="str">
        <f>IF(I$9="One",One!$D83,IF(I$9="Two",Two!$D83,IF(I$9="Three",Three!$D83,"")))</f>
        <v/>
      </c>
      <c r="J83" s="13" t="str">
        <f>IF(J$9="One",One!$D83,IF(J$9="Two",Two!$D83,IF(J$9="Three",Three!$D83,"")))</f>
        <v/>
      </c>
      <c r="K83" s="13" t="str">
        <f>IF(K$9="One",One!$D83,IF(K$9="Two",Two!$D83,IF(K$9="Three",Three!$D83,"")))</f>
        <v/>
      </c>
      <c r="L83" s="13" t="str">
        <f>IF(L$9="One",One!$D83,IF(L$9="Two",Two!$D83,IF(L$9="Three",Three!$D83,"")))</f>
        <v/>
      </c>
      <c r="M83" s="13" t="str">
        <f>IF(M$9="One",One!$D83,IF(M$9="Two",Two!$D83,IF(M$9="Three",Three!$D83,"")))</f>
        <v/>
      </c>
      <c r="N83" s="13" t="str">
        <f>IF(N$9="One",One!$D83,IF(N$9="Two",Two!$D83,IF(N$9="Three",Three!$D83,"")))</f>
        <v/>
      </c>
      <c r="O83" s="13" t="str">
        <f>IF(O$9="One",One!$D83,IF(O$9="Two",Two!$D83,IF(O$9="Three",Three!$D83,"")))</f>
        <v/>
      </c>
      <c r="P83" s="13" t="str">
        <f>IF(P$9="One",One!$D83,IF(P$9="Two",Two!$D83,IF(P$9="Three",Three!$D83,"")))</f>
        <v/>
      </c>
      <c r="Q83" s="13" t="str">
        <f>IF(Q$9="One",One!$D83,IF(Q$9="Two",Two!$D83,IF(Q$9="Three",Three!$D83,"")))</f>
        <v/>
      </c>
      <c r="R83" s="13" t="str">
        <f>IF(R$9="One",One!$D83,IF(R$9="Two",Two!$D83,IF(R$9="Three",Three!$D83,"")))</f>
        <v/>
      </c>
      <c r="S83" s="13" t="str">
        <f>IF(S$9="One",One!$D83,IF(S$9="Two",Two!$D83,IF(S$9="Three",Three!$D83,"")))</f>
        <v/>
      </c>
      <c r="T83" s="13" t="str">
        <f>IF(T$9="One",One!$D83,IF(T$9="Two",Two!$D83,IF(T$9="Three",Three!$D83,"")))</f>
        <v/>
      </c>
      <c r="U83" s="13" t="str">
        <f>IF(U$9="One",One!$D83,IF(U$9="Two",Two!$D83,IF(U$9="Three",Three!$D83,"")))</f>
        <v/>
      </c>
      <c r="V83" s="13" t="str">
        <f>IF(V$9="One",One!$D83,IF(V$9="Two",Two!$D83,IF(V$9="Three",Three!$D83,"")))</f>
        <v/>
      </c>
      <c r="W83" s="13" t="str">
        <f>IF(W$9="One",One!$D83,IF(W$9="Two",Two!$D83,IF(W$9="Three",Three!$D83,"")))</f>
        <v/>
      </c>
    </row>
    <row r="84" spans="3:23">
      <c r="C84" s="12"/>
      <c r="D84" s="14"/>
      <c r="E84" s="13" t="str">
        <f>IF(E$9="One",One!$D84,IF(E$9="Two",Two!$D84,IF(E$9="Three",Three!$D84,"")))</f>
        <v/>
      </c>
      <c r="F84" s="13" t="str">
        <f>IF(F$9="One",One!$D84,IF(F$9="Two",Two!$D84,IF(F$9="Three",Three!$D84,"")))</f>
        <v/>
      </c>
      <c r="G84" s="13" t="str">
        <f>IF(G$9="One",One!$D84,IF(G$9="Two",Two!$D84,IF(G$9="Three",Three!$D84,"")))</f>
        <v/>
      </c>
      <c r="H84" s="13" t="str">
        <f>IF(H$9="One",One!$D84,IF(H$9="Two",Two!$D84,IF(H$9="Three",Three!$D84,"")))</f>
        <v/>
      </c>
      <c r="I84" s="13" t="str">
        <f>IF(I$9="One",One!$D84,IF(I$9="Two",Two!$D84,IF(I$9="Three",Three!$D84,"")))</f>
        <v/>
      </c>
      <c r="J84" s="13" t="str">
        <f>IF(J$9="One",One!$D84,IF(J$9="Two",Two!$D84,IF(J$9="Three",Three!$D84,"")))</f>
        <v/>
      </c>
      <c r="K84" s="13" t="str">
        <f>IF(K$9="One",One!$D84,IF(K$9="Two",Two!$D84,IF(K$9="Three",Three!$D84,"")))</f>
        <v/>
      </c>
      <c r="L84" s="13" t="str">
        <f>IF(L$9="One",One!$D84,IF(L$9="Two",Two!$D84,IF(L$9="Three",Three!$D84,"")))</f>
        <v/>
      </c>
      <c r="M84" s="13" t="str">
        <f>IF(M$9="One",One!$D84,IF(M$9="Two",Two!$D84,IF(M$9="Three",Three!$D84,"")))</f>
        <v/>
      </c>
      <c r="N84" s="13" t="str">
        <f>IF(N$9="One",One!$D84,IF(N$9="Two",Two!$D84,IF(N$9="Three",Three!$D84,"")))</f>
        <v/>
      </c>
      <c r="O84" s="13" t="str">
        <f>IF(O$9="One",One!$D84,IF(O$9="Two",Two!$D84,IF(O$9="Three",Three!$D84,"")))</f>
        <v/>
      </c>
      <c r="P84" s="13" t="str">
        <f>IF(P$9="One",One!$D84,IF(P$9="Two",Two!$D84,IF(P$9="Three",Three!$D84,"")))</f>
        <v/>
      </c>
      <c r="Q84" s="13" t="str">
        <f>IF(Q$9="One",One!$D84,IF(Q$9="Two",Two!$D84,IF(Q$9="Three",Three!$D84,"")))</f>
        <v/>
      </c>
      <c r="R84" s="13" t="str">
        <f>IF(R$9="One",One!$D84,IF(R$9="Two",Two!$D84,IF(R$9="Three",Three!$D84,"")))</f>
        <v/>
      </c>
      <c r="S84" s="13" t="str">
        <f>IF(S$9="One",One!$D84,IF(S$9="Two",Two!$D84,IF(S$9="Three",Three!$D84,"")))</f>
        <v/>
      </c>
      <c r="T84" s="13" t="str">
        <f>IF(T$9="One",One!$D84,IF(T$9="Two",Two!$D84,IF(T$9="Three",Three!$D84,"")))</f>
        <v/>
      </c>
      <c r="U84" s="13" t="str">
        <f>IF(U$9="One",One!$D84,IF(U$9="Two",Two!$D84,IF(U$9="Three",Three!$D84,"")))</f>
        <v/>
      </c>
      <c r="V84" s="13" t="str">
        <f>IF(V$9="One",One!$D84,IF(V$9="Two",Two!$D84,IF(V$9="Three",Three!$D84,"")))</f>
        <v/>
      </c>
      <c r="W84" s="13" t="str">
        <f>IF(W$9="One",One!$D84,IF(W$9="Two",Two!$D84,IF(W$9="Three",Three!$D84,"")))</f>
        <v/>
      </c>
    </row>
    <row r="85" spans="3:23">
      <c r="C85" s="12"/>
      <c r="D85" s="14"/>
      <c r="E85" s="13" t="str">
        <f>IF(E$9="One",One!$D85,IF(E$9="Two",Two!$D85,IF(E$9="Three",Three!$D85,"")))</f>
        <v/>
      </c>
      <c r="F85" s="13" t="str">
        <f>IF(F$9="One",One!$D85,IF(F$9="Two",Two!$D85,IF(F$9="Three",Three!$D85,"")))</f>
        <v/>
      </c>
      <c r="G85" s="13" t="str">
        <f>IF(G$9="One",One!$D85,IF(G$9="Two",Two!$D85,IF(G$9="Three",Three!$D85,"")))</f>
        <v/>
      </c>
      <c r="H85" s="13" t="str">
        <f>IF(H$9="One",One!$D85,IF(H$9="Two",Two!$D85,IF(H$9="Three",Three!$D85,"")))</f>
        <v/>
      </c>
      <c r="I85" s="13" t="str">
        <f>IF(I$9="One",One!$D85,IF(I$9="Two",Two!$D85,IF(I$9="Three",Three!$D85,"")))</f>
        <v/>
      </c>
      <c r="J85" s="13" t="str">
        <f>IF(J$9="One",One!$D85,IF(J$9="Two",Two!$D85,IF(J$9="Three",Three!$D85,"")))</f>
        <v/>
      </c>
      <c r="K85" s="13" t="str">
        <f>IF(K$9="One",One!$D85,IF(K$9="Two",Two!$D85,IF(K$9="Three",Three!$D85,"")))</f>
        <v/>
      </c>
      <c r="L85" s="13" t="str">
        <f>IF(L$9="One",One!$D85,IF(L$9="Two",Two!$D85,IF(L$9="Three",Three!$D85,"")))</f>
        <v/>
      </c>
      <c r="M85" s="13" t="str">
        <f>IF(M$9="One",One!$D85,IF(M$9="Two",Two!$D85,IF(M$9="Three",Three!$D85,"")))</f>
        <v/>
      </c>
      <c r="N85" s="13" t="str">
        <f>IF(N$9="One",One!$D85,IF(N$9="Two",Two!$D85,IF(N$9="Three",Three!$D85,"")))</f>
        <v/>
      </c>
      <c r="O85" s="13" t="str">
        <f>IF(O$9="One",One!$D85,IF(O$9="Two",Two!$D85,IF(O$9="Three",Three!$D85,"")))</f>
        <v/>
      </c>
      <c r="P85" s="13" t="str">
        <f>IF(P$9="One",One!$D85,IF(P$9="Two",Two!$D85,IF(P$9="Three",Three!$D85,"")))</f>
        <v/>
      </c>
      <c r="Q85" s="13" t="str">
        <f>IF(Q$9="One",One!$D85,IF(Q$9="Two",Two!$D85,IF(Q$9="Three",Three!$D85,"")))</f>
        <v/>
      </c>
      <c r="R85" s="13" t="str">
        <f>IF(R$9="One",One!$D85,IF(R$9="Two",Two!$D85,IF(R$9="Three",Three!$D85,"")))</f>
        <v/>
      </c>
      <c r="S85" s="13" t="str">
        <f>IF(S$9="One",One!$D85,IF(S$9="Two",Two!$D85,IF(S$9="Three",Three!$D85,"")))</f>
        <v/>
      </c>
      <c r="T85" s="13" t="str">
        <f>IF(T$9="One",One!$D85,IF(T$9="Two",Two!$D85,IF(T$9="Three",Three!$D85,"")))</f>
        <v/>
      </c>
      <c r="U85" s="13" t="str">
        <f>IF(U$9="One",One!$D85,IF(U$9="Two",Two!$D85,IF(U$9="Three",Three!$D85,"")))</f>
        <v/>
      </c>
      <c r="V85" s="13" t="str">
        <f>IF(V$9="One",One!$D85,IF(V$9="Two",Two!$D85,IF(V$9="Three",Three!$D85,"")))</f>
        <v/>
      </c>
      <c r="W85" s="13" t="str">
        <f>IF(W$9="One",One!$D85,IF(W$9="Two",Two!$D85,IF(W$9="Three",Three!$D85,"")))</f>
        <v/>
      </c>
    </row>
    <row r="86" spans="3:23">
      <c r="C86" s="12"/>
      <c r="D86" s="14"/>
      <c r="E86" s="13" t="str">
        <f>IF(E$9="One",One!$D86,IF(E$9="Two",Two!$D86,IF(E$9="Three",Three!$D86,"")))</f>
        <v/>
      </c>
      <c r="F86" s="13" t="str">
        <f>IF(F$9="One",One!$D86,IF(F$9="Two",Two!$D86,IF(F$9="Three",Three!$D86,"")))</f>
        <v/>
      </c>
      <c r="G86" s="13" t="str">
        <f>IF(G$9="One",One!$D86,IF(G$9="Two",Two!$D86,IF(G$9="Three",Three!$D86,"")))</f>
        <v/>
      </c>
      <c r="H86" s="13" t="str">
        <f>IF(H$9="One",One!$D86,IF(H$9="Two",Two!$D86,IF(H$9="Three",Three!$D86,"")))</f>
        <v/>
      </c>
      <c r="I86" s="13" t="str">
        <f>IF(I$9="One",One!$D86,IF(I$9="Two",Two!$D86,IF(I$9="Three",Three!$D86,"")))</f>
        <v/>
      </c>
      <c r="J86" s="13" t="str">
        <f>IF(J$9="One",One!$D86,IF(J$9="Two",Two!$D86,IF(J$9="Three",Three!$D86,"")))</f>
        <v/>
      </c>
      <c r="K86" s="13" t="str">
        <f>IF(K$9="One",One!$D86,IF(K$9="Two",Two!$D86,IF(K$9="Three",Three!$D86,"")))</f>
        <v/>
      </c>
      <c r="L86" s="13" t="str">
        <f>IF(L$9="One",One!$D86,IF(L$9="Two",Two!$D86,IF(L$9="Three",Three!$D86,"")))</f>
        <v/>
      </c>
      <c r="M86" s="13" t="str">
        <f>IF(M$9="One",One!$D86,IF(M$9="Two",Two!$D86,IF(M$9="Three",Three!$D86,"")))</f>
        <v/>
      </c>
      <c r="N86" s="13" t="str">
        <f>IF(N$9="One",One!$D86,IF(N$9="Two",Two!$D86,IF(N$9="Three",Three!$D86,"")))</f>
        <v/>
      </c>
      <c r="O86" s="13" t="str">
        <f>IF(O$9="One",One!$D86,IF(O$9="Two",Two!$D86,IF(O$9="Three",Three!$D86,"")))</f>
        <v/>
      </c>
      <c r="P86" s="13" t="str">
        <f>IF(P$9="One",One!$D86,IF(P$9="Two",Two!$D86,IF(P$9="Three",Three!$D86,"")))</f>
        <v/>
      </c>
      <c r="Q86" s="13" t="str">
        <f>IF(Q$9="One",One!$D86,IF(Q$9="Two",Two!$D86,IF(Q$9="Three",Three!$D86,"")))</f>
        <v/>
      </c>
      <c r="R86" s="13" t="str">
        <f>IF(R$9="One",One!$D86,IF(R$9="Two",Two!$D86,IF(R$9="Three",Three!$D86,"")))</f>
        <v/>
      </c>
      <c r="S86" s="13" t="str">
        <f>IF(S$9="One",One!$D86,IF(S$9="Two",Two!$D86,IF(S$9="Three",Three!$D86,"")))</f>
        <v/>
      </c>
      <c r="T86" s="13" t="str">
        <f>IF(T$9="One",One!$D86,IF(T$9="Two",Two!$D86,IF(T$9="Three",Three!$D86,"")))</f>
        <v/>
      </c>
      <c r="U86" s="13" t="str">
        <f>IF(U$9="One",One!$D86,IF(U$9="Two",Two!$D86,IF(U$9="Three",Three!$D86,"")))</f>
        <v/>
      </c>
      <c r="V86" s="13" t="str">
        <f>IF(V$9="One",One!$D86,IF(V$9="Two",Two!$D86,IF(V$9="Three",Three!$D86,"")))</f>
        <v/>
      </c>
      <c r="W86" s="13" t="str">
        <f>IF(W$9="One",One!$D86,IF(W$9="Two",Two!$D86,IF(W$9="Three",Three!$D86,"")))</f>
        <v/>
      </c>
    </row>
    <row r="87" spans="3:23">
      <c r="C87" s="12"/>
      <c r="D87" s="14"/>
      <c r="E87" s="13" t="str">
        <f>IF(E$9="One",One!$D87,IF(E$9="Two",Two!$D87,IF(E$9="Three",Three!$D87,"")))</f>
        <v/>
      </c>
      <c r="F87" s="13" t="str">
        <f>IF(F$9="One",One!$D87,IF(F$9="Two",Two!$D87,IF(F$9="Three",Three!$D87,"")))</f>
        <v/>
      </c>
      <c r="G87" s="13" t="str">
        <f>IF(G$9="One",One!$D87,IF(G$9="Two",Two!$D87,IF(G$9="Three",Three!$D87,"")))</f>
        <v/>
      </c>
      <c r="H87" s="13" t="str">
        <f>IF(H$9="One",One!$D87,IF(H$9="Two",Two!$D87,IF(H$9="Three",Three!$D87,"")))</f>
        <v/>
      </c>
      <c r="I87" s="13" t="str">
        <f>IF(I$9="One",One!$D87,IF(I$9="Two",Two!$D87,IF(I$9="Three",Three!$D87,"")))</f>
        <v/>
      </c>
      <c r="J87" s="13" t="str">
        <f>IF(J$9="One",One!$D87,IF(J$9="Two",Two!$D87,IF(J$9="Three",Three!$D87,"")))</f>
        <v/>
      </c>
      <c r="K87" s="13" t="str">
        <f>IF(K$9="One",One!$D87,IF(K$9="Two",Two!$D87,IF(K$9="Three",Three!$D87,"")))</f>
        <v/>
      </c>
      <c r="L87" s="13" t="str">
        <f>IF(L$9="One",One!$D87,IF(L$9="Two",Two!$D87,IF(L$9="Three",Three!$D87,"")))</f>
        <v/>
      </c>
      <c r="M87" s="13" t="str">
        <f>IF(M$9="One",One!$D87,IF(M$9="Two",Two!$D87,IF(M$9="Three",Three!$D87,"")))</f>
        <v/>
      </c>
      <c r="N87" s="13" t="str">
        <f>IF(N$9="One",One!$D87,IF(N$9="Two",Two!$D87,IF(N$9="Three",Three!$D87,"")))</f>
        <v/>
      </c>
      <c r="O87" s="13" t="str">
        <f>IF(O$9="One",One!$D87,IF(O$9="Two",Two!$D87,IF(O$9="Three",Three!$D87,"")))</f>
        <v/>
      </c>
      <c r="P87" s="13" t="str">
        <f>IF(P$9="One",One!$D87,IF(P$9="Two",Two!$D87,IF(P$9="Three",Three!$D87,"")))</f>
        <v/>
      </c>
      <c r="Q87" s="13" t="str">
        <f>IF(Q$9="One",One!$D87,IF(Q$9="Two",Two!$D87,IF(Q$9="Three",Three!$D87,"")))</f>
        <v/>
      </c>
      <c r="R87" s="13" t="str">
        <f>IF(R$9="One",One!$D87,IF(R$9="Two",Two!$D87,IF(R$9="Three",Three!$D87,"")))</f>
        <v/>
      </c>
      <c r="S87" s="13" t="str">
        <f>IF(S$9="One",One!$D87,IF(S$9="Two",Two!$D87,IF(S$9="Three",Three!$D87,"")))</f>
        <v/>
      </c>
      <c r="T87" s="13" t="str">
        <f>IF(T$9="One",One!$D87,IF(T$9="Two",Two!$D87,IF(T$9="Three",Three!$D87,"")))</f>
        <v/>
      </c>
      <c r="U87" s="13" t="str">
        <f>IF(U$9="One",One!$D87,IF(U$9="Two",Two!$D87,IF(U$9="Three",Three!$D87,"")))</f>
        <v/>
      </c>
      <c r="V87" s="13" t="str">
        <f>IF(V$9="One",One!$D87,IF(V$9="Two",Two!$D87,IF(V$9="Three",Three!$D87,"")))</f>
        <v/>
      </c>
      <c r="W87" s="13" t="str">
        <f>IF(W$9="One",One!$D87,IF(W$9="Two",Two!$D87,IF(W$9="Three",Three!$D87,"")))</f>
        <v/>
      </c>
    </row>
    <row r="88" spans="3:23">
      <c r="C88" s="12"/>
      <c r="D88" s="14"/>
      <c r="E88" s="13" t="str">
        <f>IF(E$9="One",One!$D88,IF(E$9="Two",Two!$D88,IF(E$9="Three",Three!$D88,"")))</f>
        <v/>
      </c>
      <c r="F88" s="13" t="str">
        <f>IF(F$9="One",One!$D88,IF(F$9="Two",Two!$D88,IF(F$9="Three",Three!$D88,"")))</f>
        <v/>
      </c>
      <c r="G88" s="13" t="str">
        <f>IF(G$9="One",One!$D88,IF(G$9="Two",Two!$D88,IF(G$9="Three",Three!$D88,"")))</f>
        <v/>
      </c>
      <c r="H88" s="13" t="str">
        <f>IF(H$9="One",One!$D88,IF(H$9="Two",Two!$D88,IF(H$9="Three",Three!$D88,"")))</f>
        <v/>
      </c>
      <c r="I88" s="13" t="str">
        <f>IF(I$9="One",One!$D88,IF(I$9="Two",Two!$D88,IF(I$9="Three",Three!$D88,"")))</f>
        <v/>
      </c>
      <c r="J88" s="13" t="str">
        <f>IF(J$9="One",One!$D88,IF(J$9="Two",Two!$D88,IF(J$9="Three",Three!$D88,"")))</f>
        <v/>
      </c>
      <c r="K88" s="13" t="str">
        <f>IF(K$9="One",One!$D88,IF(K$9="Two",Two!$D88,IF(K$9="Three",Three!$D88,"")))</f>
        <v/>
      </c>
      <c r="L88" s="13" t="str">
        <f>IF(L$9="One",One!$D88,IF(L$9="Two",Two!$D88,IF(L$9="Three",Three!$D88,"")))</f>
        <v/>
      </c>
      <c r="M88" s="13" t="str">
        <f>IF(M$9="One",One!$D88,IF(M$9="Two",Two!$D88,IF(M$9="Three",Three!$D88,"")))</f>
        <v/>
      </c>
      <c r="N88" s="13" t="str">
        <f>IF(N$9="One",One!$D88,IF(N$9="Two",Two!$D88,IF(N$9="Three",Three!$D88,"")))</f>
        <v/>
      </c>
      <c r="O88" s="13" t="str">
        <f>IF(O$9="One",One!$D88,IF(O$9="Two",Two!$D88,IF(O$9="Three",Three!$D88,"")))</f>
        <v/>
      </c>
      <c r="P88" s="13" t="str">
        <f>IF(P$9="One",One!$D88,IF(P$9="Two",Two!$D88,IF(P$9="Three",Three!$D88,"")))</f>
        <v/>
      </c>
      <c r="Q88" s="13" t="str">
        <f>IF(Q$9="One",One!$D88,IF(Q$9="Two",Two!$D88,IF(Q$9="Three",Three!$D88,"")))</f>
        <v/>
      </c>
      <c r="R88" s="13" t="str">
        <f>IF(R$9="One",One!$D88,IF(R$9="Two",Two!$D88,IF(R$9="Three",Three!$D88,"")))</f>
        <v/>
      </c>
      <c r="S88" s="13" t="str">
        <f>IF(S$9="One",One!$D88,IF(S$9="Two",Two!$D88,IF(S$9="Three",Three!$D88,"")))</f>
        <v/>
      </c>
      <c r="T88" s="13" t="str">
        <f>IF(T$9="One",One!$D88,IF(T$9="Two",Two!$D88,IF(T$9="Three",Three!$D88,"")))</f>
        <v/>
      </c>
      <c r="U88" s="13" t="str">
        <f>IF(U$9="One",One!$D88,IF(U$9="Two",Two!$D88,IF(U$9="Three",Three!$D88,"")))</f>
        <v/>
      </c>
      <c r="V88" s="13" t="str">
        <f>IF(V$9="One",One!$D88,IF(V$9="Two",Two!$D88,IF(V$9="Three",Three!$D88,"")))</f>
        <v/>
      </c>
      <c r="W88" s="13" t="str">
        <f>IF(W$9="One",One!$D88,IF(W$9="Two",Two!$D88,IF(W$9="Three",Three!$D88,"")))</f>
        <v/>
      </c>
    </row>
    <row r="89" spans="3:23">
      <c r="C89" s="12"/>
      <c r="D89" s="14"/>
      <c r="E89" s="13" t="str">
        <f>IF(E$9="One",One!$D89,IF(E$9="Two",Two!$D89,IF(E$9="Three",Three!$D89,"")))</f>
        <v/>
      </c>
      <c r="F89" s="13" t="str">
        <f>IF(F$9="One",One!$D89,IF(F$9="Two",Two!$D89,IF(F$9="Three",Three!$D89,"")))</f>
        <v/>
      </c>
      <c r="G89" s="13" t="str">
        <f>IF(G$9="One",One!$D89,IF(G$9="Two",Two!$D89,IF(G$9="Three",Three!$D89,"")))</f>
        <v/>
      </c>
      <c r="H89" s="13" t="str">
        <f>IF(H$9="One",One!$D89,IF(H$9="Two",Two!$D89,IF(H$9="Three",Three!$D89,"")))</f>
        <v/>
      </c>
      <c r="I89" s="13" t="str">
        <f>IF(I$9="One",One!$D89,IF(I$9="Two",Two!$D89,IF(I$9="Three",Three!$D89,"")))</f>
        <v/>
      </c>
      <c r="J89" s="13" t="str">
        <f>IF(J$9="One",One!$D89,IF(J$9="Two",Two!$D89,IF(J$9="Three",Three!$D89,"")))</f>
        <v/>
      </c>
      <c r="K89" s="13" t="str">
        <f>IF(K$9="One",One!$D89,IF(K$9="Two",Two!$D89,IF(K$9="Three",Three!$D89,"")))</f>
        <v/>
      </c>
      <c r="L89" s="13" t="str">
        <f>IF(L$9="One",One!$D89,IF(L$9="Two",Two!$D89,IF(L$9="Three",Three!$D89,"")))</f>
        <v/>
      </c>
      <c r="M89" s="13" t="str">
        <f>IF(M$9="One",One!$D89,IF(M$9="Two",Two!$D89,IF(M$9="Three",Three!$D89,"")))</f>
        <v/>
      </c>
      <c r="N89" s="13" t="str">
        <f>IF(N$9="One",One!$D89,IF(N$9="Two",Two!$D89,IF(N$9="Three",Three!$D89,"")))</f>
        <v/>
      </c>
      <c r="O89" s="13" t="str">
        <f>IF(O$9="One",One!$D89,IF(O$9="Two",Two!$D89,IF(O$9="Three",Three!$D89,"")))</f>
        <v/>
      </c>
      <c r="P89" s="13" t="str">
        <f>IF(P$9="One",One!$D89,IF(P$9="Two",Two!$D89,IF(P$9="Three",Three!$D89,"")))</f>
        <v/>
      </c>
      <c r="Q89" s="13" t="str">
        <f>IF(Q$9="One",One!$D89,IF(Q$9="Two",Two!$D89,IF(Q$9="Three",Three!$D89,"")))</f>
        <v/>
      </c>
      <c r="R89" s="13" t="str">
        <f>IF(R$9="One",One!$D89,IF(R$9="Two",Two!$D89,IF(R$9="Three",Three!$D89,"")))</f>
        <v/>
      </c>
      <c r="S89" s="13" t="str">
        <f>IF(S$9="One",One!$D89,IF(S$9="Two",Two!$D89,IF(S$9="Three",Three!$D89,"")))</f>
        <v/>
      </c>
      <c r="T89" s="13" t="str">
        <f>IF(T$9="One",One!$D89,IF(T$9="Two",Two!$D89,IF(T$9="Three",Three!$D89,"")))</f>
        <v/>
      </c>
      <c r="U89" s="13" t="str">
        <f>IF(U$9="One",One!$D89,IF(U$9="Two",Two!$D89,IF(U$9="Three",Three!$D89,"")))</f>
        <v/>
      </c>
      <c r="V89" s="13" t="str">
        <f>IF(V$9="One",One!$D89,IF(V$9="Two",Two!$D89,IF(V$9="Three",Three!$D89,"")))</f>
        <v/>
      </c>
      <c r="W89" s="13" t="str">
        <f>IF(W$9="One",One!$D89,IF(W$9="Two",Two!$D89,IF(W$9="Three",Three!$D89,"")))</f>
        <v/>
      </c>
    </row>
    <row r="90" spans="3:23">
      <c r="C90" s="12"/>
      <c r="D90" s="14"/>
      <c r="E90" s="13" t="str">
        <f>IF(E$9="One",One!$D90,IF(E$9="Two",Two!$D90,IF(E$9="Three",Three!$D90,"")))</f>
        <v/>
      </c>
      <c r="F90" s="13" t="str">
        <f>IF(F$9="One",One!$D90,IF(F$9="Two",Two!$D90,IF(F$9="Three",Three!$D90,"")))</f>
        <v/>
      </c>
      <c r="G90" s="13" t="str">
        <f>IF(G$9="One",One!$D90,IF(G$9="Two",Two!$D90,IF(G$9="Three",Three!$D90,"")))</f>
        <v/>
      </c>
      <c r="H90" s="13" t="str">
        <f>IF(H$9="One",One!$D90,IF(H$9="Two",Two!$D90,IF(H$9="Three",Three!$D90,"")))</f>
        <v/>
      </c>
      <c r="I90" s="13" t="str">
        <f>IF(I$9="One",One!$D90,IF(I$9="Two",Two!$D90,IF(I$9="Three",Three!$D90,"")))</f>
        <v/>
      </c>
      <c r="J90" s="13" t="str">
        <f>IF(J$9="One",One!$D90,IF(J$9="Two",Two!$D90,IF(J$9="Three",Three!$D90,"")))</f>
        <v/>
      </c>
      <c r="K90" s="13" t="str">
        <f>IF(K$9="One",One!$D90,IF(K$9="Two",Two!$D90,IF(K$9="Three",Three!$D90,"")))</f>
        <v/>
      </c>
      <c r="L90" s="13" t="str">
        <f>IF(L$9="One",One!$D90,IF(L$9="Two",Two!$D90,IF(L$9="Three",Three!$D90,"")))</f>
        <v/>
      </c>
      <c r="M90" s="13" t="str">
        <f>IF(M$9="One",One!$D90,IF(M$9="Two",Two!$D90,IF(M$9="Three",Three!$D90,"")))</f>
        <v/>
      </c>
      <c r="N90" s="13" t="str">
        <f>IF(N$9="One",One!$D90,IF(N$9="Two",Two!$D90,IF(N$9="Three",Three!$D90,"")))</f>
        <v/>
      </c>
      <c r="O90" s="13" t="str">
        <f>IF(O$9="One",One!$D90,IF(O$9="Two",Two!$D90,IF(O$9="Three",Three!$D90,"")))</f>
        <v/>
      </c>
      <c r="P90" s="13" t="str">
        <f>IF(P$9="One",One!$D90,IF(P$9="Two",Two!$D90,IF(P$9="Three",Three!$D90,"")))</f>
        <v/>
      </c>
      <c r="Q90" s="13" t="str">
        <f>IF(Q$9="One",One!$D90,IF(Q$9="Two",Two!$D90,IF(Q$9="Three",Three!$D90,"")))</f>
        <v/>
      </c>
      <c r="R90" s="13" t="str">
        <f>IF(R$9="One",One!$D90,IF(R$9="Two",Two!$D90,IF(R$9="Three",Three!$D90,"")))</f>
        <v/>
      </c>
      <c r="S90" s="13" t="str">
        <f>IF(S$9="One",One!$D90,IF(S$9="Two",Two!$D90,IF(S$9="Three",Three!$D90,"")))</f>
        <v/>
      </c>
      <c r="T90" s="13" t="str">
        <f>IF(T$9="One",One!$D90,IF(T$9="Two",Two!$D90,IF(T$9="Three",Three!$D90,"")))</f>
        <v/>
      </c>
      <c r="U90" s="13" t="str">
        <f>IF(U$9="One",One!$D90,IF(U$9="Two",Two!$D90,IF(U$9="Three",Three!$D90,"")))</f>
        <v/>
      </c>
      <c r="V90" s="13" t="str">
        <f>IF(V$9="One",One!$D90,IF(V$9="Two",Two!$D90,IF(V$9="Three",Three!$D90,"")))</f>
        <v/>
      </c>
      <c r="W90" s="13" t="str">
        <f>IF(W$9="One",One!$D90,IF(W$9="Two",Two!$D90,IF(W$9="Three",Three!$D90,"")))</f>
        <v/>
      </c>
    </row>
    <row r="91" spans="3:23">
      <c r="C91" s="12"/>
      <c r="D91" s="14"/>
      <c r="E91" s="13" t="str">
        <f>IF(E$9="One",One!$D91,IF(E$9="Two",Two!$D91,IF(E$9="Three",Three!$D91,"")))</f>
        <v/>
      </c>
      <c r="F91" s="13" t="str">
        <f>IF(F$9="One",One!$D91,IF(F$9="Two",Two!$D91,IF(F$9="Three",Three!$D91,"")))</f>
        <v/>
      </c>
      <c r="G91" s="13" t="str">
        <f>IF(G$9="One",One!$D91,IF(G$9="Two",Two!$D91,IF(G$9="Three",Three!$D91,"")))</f>
        <v/>
      </c>
      <c r="H91" s="13" t="str">
        <f>IF(H$9="One",One!$D91,IF(H$9="Two",Two!$D91,IF(H$9="Three",Three!$D91,"")))</f>
        <v/>
      </c>
      <c r="I91" s="13" t="str">
        <f>IF(I$9="One",One!$D91,IF(I$9="Two",Two!$D91,IF(I$9="Three",Three!$D91,"")))</f>
        <v/>
      </c>
      <c r="J91" s="13" t="str">
        <f>IF(J$9="One",One!$D91,IF(J$9="Two",Two!$D91,IF(J$9="Three",Three!$D91,"")))</f>
        <v/>
      </c>
      <c r="K91" s="13" t="str">
        <f>IF(K$9="One",One!$D91,IF(K$9="Two",Two!$D91,IF(K$9="Three",Three!$D91,"")))</f>
        <v/>
      </c>
      <c r="L91" s="13" t="str">
        <f>IF(L$9="One",One!$D91,IF(L$9="Two",Two!$D91,IF(L$9="Three",Three!$D91,"")))</f>
        <v/>
      </c>
      <c r="M91" s="13" t="str">
        <f>IF(M$9="One",One!$D91,IF(M$9="Two",Two!$D91,IF(M$9="Three",Three!$D91,"")))</f>
        <v/>
      </c>
      <c r="N91" s="13" t="str">
        <f>IF(N$9="One",One!$D91,IF(N$9="Two",Two!$D91,IF(N$9="Three",Three!$D91,"")))</f>
        <v/>
      </c>
      <c r="O91" s="13" t="str">
        <f>IF(O$9="One",One!$D91,IF(O$9="Two",Two!$D91,IF(O$9="Three",Three!$D91,"")))</f>
        <v/>
      </c>
      <c r="P91" s="13" t="str">
        <f>IF(P$9="One",One!$D91,IF(P$9="Two",Two!$D91,IF(P$9="Three",Three!$D91,"")))</f>
        <v/>
      </c>
      <c r="Q91" s="13" t="str">
        <f>IF(Q$9="One",One!$D91,IF(Q$9="Two",Two!$D91,IF(Q$9="Three",Three!$D91,"")))</f>
        <v/>
      </c>
      <c r="R91" s="13" t="str">
        <f>IF(R$9="One",One!$D91,IF(R$9="Two",Two!$D91,IF(R$9="Three",Three!$D91,"")))</f>
        <v/>
      </c>
      <c r="S91" s="13" t="str">
        <f>IF(S$9="One",One!$D91,IF(S$9="Two",Two!$D91,IF(S$9="Three",Three!$D91,"")))</f>
        <v/>
      </c>
      <c r="T91" s="13" t="str">
        <f>IF(T$9="One",One!$D91,IF(T$9="Two",Two!$D91,IF(T$9="Three",Three!$D91,"")))</f>
        <v/>
      </c>
      <c r="U91" s="13" t="str">
        <f>IF(U$9="One",One!$D91,IF(U$9="Two",Two!$D91,IF(U$9="Three",Three!$D91,"")))</f>
        <v/>
      </c>
      <c r="V91" s="13" t="str">
        <f>IF(V$9="One",One!$D91,IF(V$9="Two",Two!$D91,IF(V$9="Three",Three!$D91,"")))</f>
        <v/>
      </c>
      <c r="W91" s="13" t="str">
        <f>IF(W$9="One",One!$D91,IF(W$9="Two",Two!$D91,IF(W$9="Three",Three!$D91,"")))</f>
        <v/>
      </c>
    </row>
    <row r="92" spans="3:23">
      <c r="C92" s="12"/>
      <c r="D92" s="14"/>
      <c r="E92" s="13" t="str">
        <f>IF(E$9="One",One!$D92,IF(E$9="Two",Two!$D92,IF(E$9="Three",Three!$D92,"")))</f>
        <v/>
      </c>
      <c r="F92" s="13" t="str">
        <f>IF(F$9="One",One!$D92,IF(F$9="Two",Two!$D92,IF(F$9="Three",Three!$D92,"")))</f>
        <v/>
      </c>
      <c r="G92" s="13" t="str">
        <f>IF(G$9="One",One!$D92,IF(G$9="Two",Two!$D92,IF(G$9="Three",Three!$D92,"")))</f>
        <v/>
      </c>
      <c r="H92" s="13" t="str">
        <f>IF(H$9="One",One!$D92,IF(H$9="Two",Two!$D92,IF(H$9="Three",Three!$D92,"")))</f>
        <v/>
      </c>
      <c r="I92" s="13" t="str">
        <f>IF(I$9="One",One!$D92,IF(I$9="Two",Two!$D92,IF(I$9="Three",Three!$D92,"")))</f>
        <v/>
      </c>
      <c r="J92" s="13" t="str">
        <f>IF(J$9="One",One!$D92,IF(J$9="Two",Two!$D92,IF(J$9="Three",Three!$D92,"")))</f>
        <v/>
      </c>
      <c r="K92" s="13" t="str">
        <f>IF(K$9="One",One!$D92,IF(K$9="Two",Two!$D92,IF(K$9="Three",Three!$D92,"")))</f>
        <v/>
      </c>
      <c r="L92" s="13" t="str">
        <f>IF(L$9="One",One!$D92,IF(L$9="Two",Two!$D92,IF(L$9="Three",Three!$D92,"")))</f>
        <v/>
      </c>
      <c r="M92" s="13" t="str">
        <f>IF(M$9="One",One!$D92,IF(M$9="Two",Two!$D92,IF(M$9="Three",Three!$D92,"")))</f>
        <v/>
      </c>
      <c r="N92" s="13" t="str">
        <f>IF(N$9="One",One!$D92,IF(N$9="Two",Two!$D92,IF(N$9="Three",Three!$D92,"")))</f>
        <v/>
      </c>
      <c r="O92" s="13" t="str">
        <f>IF(O$9="One",One!$D92,IF(O$9="Two",Two!$D92,IF(O$9="Three",Three!$D92,"")))</f>
        <v/>
      </c>
      <c r="P92" s="13" t="str">
        <f>IF(P$9="One",One!$D92,IF(P$9="Two",Two!$D92,IF(P$9="Three",Three!$D92,"")))</f>
        <v/>
      </c>
      <c r="Q92" s="13" t="str">
        <f>IF(Q$9="One",One!$D92,IF(Q$9="Two",Two!$D92,IF(Q$9="Three",Three!$D92,"")))</f>
        <v/>
      </c>
      <c r="R92" s="13" t="str">
        <f>IF(R$9="One",One!$D92,IF(R$9="Two",Two!$D92,IF(R$9="Three",Three!$D92,"")))</f>
        <v/>
      </c>
      <c r="S92" s="13" t="str">
        <f>IF(S$9="One",One!$D92,IF(S$9="Two",Two!$D92,IF(S$9="Three",Three!$D92,"")))</f>
        <v/>
      </c>
      <c r="T92" s="13" t="str">
        <f>IF(T$9="One",One!$D92,IF(T$9="Two",Two!$D92,IF(T$9="Three",Three!$D92,"")))</f>
        <v/>
      </c>
      <c r="U92" s="13" t="str">
        <f>IF(U$9="One",One!$D92,IF(U$9="Two",Two!$D92,IF(U$9="Three",Three!$D92,"")))</f>
        <v/>
      </c>
      <c r="V92" s="13" t="str">
        <f>IF(V$9="One",One!$D92,IF(V$9="Two",Two!$D92,IF(V$9="Three",Three!$D92,"")))</f>
        <v/>
      </c>
      <c r="W92" s="13" t="str">
        <f>IF(W$9="One",One!$D92,IF(W$9="Two",Two!$D92,IF(W$9="Three",Three!$D92,"")))</f>
        <v/>
      </c>
    </row>
    <row r="93" spans="3:23">
      <c r="C93" s="12"/>
      <c r="D93" s="14"/>
      <c r="E93" s="13" t="str">
        <f>IF(E$9="One",One!$D93,IF(E$9="Two",Two!$D93,IF(E$9="Three",Three!$D93,"")))</f>
        <v/>
      </c>
      <c r="F93" s="13" t="str">
        <f>IF(F$9="One",One!$D93,IF(F$9="Two",Two!$D93,IF(F$9="Three",Three!$D93,"")))</f>
        <v/>
      </c>
      <c r="G93" s="13" t="str">
        <f>IF(G$9="One",One!$D93,IF(G$9="Two",Two!$D93,IF(G$9="Three",Three!$D93,"")))</f>
        <v/>
      </c>
      <c r="H93" s="13" t="str">
        <f>IF(H$9="One",One!$D93,IF(H$9="Two",Two!$D93,IF(H$9="Three",Three!$D93,"")))</f>
        <v/>
      </c>
      <c r="I93" s="13" t="str">
        <f>IF(I$9="One",One!$D93,IF(I$9="Two",Two!$D93,IF(I$9="Three",Three!$D93,"")))</f>
        <v/>
      </c>
      <c r="J93" s="13" t="str">
        <f>IF(J$9="One",One!$D93,IF(J$9="Two",Two!$D93,IF(J$9="Three",Three!$D93,"")))</f>
        <v/>
      </c>
      <c r="K93" s="13" t="str">
        <f>IF(K$9="One",One!$D93,IF(K$9="Two",Two!$D93,IF(K$9="Three",Three!$D93,"")))</f>
        <v/>
      </c>
      <c r="L93" s="13" t="str">
        <f>IF(L$9="One",One!$D93,IF(L$9="Two",Two!$D93,IF(L$9="Three",Three!$D93,"")))</f>
        <v/>
      </c>
      <c r="M93" s="13" t="str">
        <f>IF(M$9="One",One!$D93,IF(M$9="Two",Two!$D93,IF(M$9="Three",Three!$D93,"")))</f>
        <v/>
      </c>
      <c r="N93" s="13" t="str">
        <f>IF(N$9="One",One!$D93,IF(N$9="Two",Two!$D93,IF(N$9="Three",Three!$D93,"")))</f>
        <v/>
      </c>
      <c r="O93" s="13" t="str">
        <f>IF(O$9="One",One!$D93,IF(O$9="Two",Two!$D93,IF(O$9="Three",Three!$D93,"")))</f>
        <v/>
      </c>
      <c r="P93" s="13" t="str">
        <f>IF(P$9="One",One!$D93,IF(P$9="Two",Two!$D93,IF(P$9="Three",Three!$D93,"")))</f>
        <v/>
      </c>
      <c r="Q93" s="13" t="str">
        <f>IF(Q$9="One",One!$D93,IF(Q$9="Two",Two!$D93,IF(Q$9="Three",Three!$D93,"")))</f>
        <v/>
      </c>
      <c r="R93" s="13" t="str">
        <f>IF(R$9="One",One!$D93,IF(R$9="Two",Two!$D93,IF(R$9="Three",Three!$D93,"")))</f>
        <v/>
      </c>
      <c r="S93" s="13" t="str">
        <f>IF(S$9="One",One!$D93,IF(S$9="Two",Two!$D93,IF(S$9="Three",Three!$D93,"")))</f>
        <v/>
      </c>
      <c r="T93" s="13" t="str">
        <f>IF(T$9="One",One!$D93,IF(T$9="Two",Two!$D93,IF(T$9="Three",Three!$D93,"")))</f>
        <v/>
      </c>
      <c r="U93" s="13" t="str">
        <f>IF(U$9="One",One!$D93,IF(U$9="Two",Two!$D93,IF(U$9="Three",Three!$D93,"")))</f>
        <v/>
      </c>
      <c r="V93" s="13" t="str">
        <f>IF(V$9="One",One!$D93,IF(V$9="Two",Two!$D93,IF(V$9="Three",Three!$D93,"")))</f>
        <v/>
      </c>
      <c r="W93" s="13" t="str">
        <f>IF(W$9="One",One!$D93,IF(W$9="Two",Two!$D93,IF(W$9="Three",Three!$D93,"")))</f>
        <v/>
      </c>
    </row>
    <row r="94" spans="3:23">
      <c r="C94" s="12"/>
      <c r="D94" s="14"/>
      <c r="E94" s="13" t="str">
        <f>IF(E$9="One",One!$D94,IF(E$9="Two",Two!$D94,IF(E$9="Three",Three!$D94,"")))</f>
        <v/>
      </c>
      <c r="F94" s="13" t="str">
        <f>IF(F$9="One",One!$D94,IF(F$9="Two",Two!$D94,IF(F$9="Three",Three!$D94,"")))</f>
        <v/>
      </c>
      <c r="G94" s="13" t="str">
        <f>IF(G$9="One",One!$D94,IF(G$9="Two",Two!$D94,IF(G$9="Three",Three!$D94,"")))</f>
        <v/>
      </c>
      <c r="H94" s="13" t="str">
        <f>IF(H$9="One",One!$D94,IF(H$9="Two",Two!$D94,IF(H$9="Three",Three!$D94,"")))</f>
        <v/>
      </c>
      <c r="I94" s="13" t="str">
        <f>IF(I$9="One",One!$D94,IF(I$9="Two",Two!$D94,IF(I$9="Three",Three!$D94,"")))</f>
        <v/>
      </c>
      <c r="J94" s="13" t="str">
        <f>IF(J$9="One",One!$D94,IF(J$9="Two",Two!$D94,IF(J$9="Three",Three!$D94,"")))</f>
        <v/>
      </c>
      <c r="K94" s="13" t="str">
        <f>IF(K$9="One",One!$D94,IF(K$9="Two",Two!$D94,IF(K$9="Three",Three!$D94,"")))</f>
        <v/>
      </c>
      <c r="L94" s="13" t="str">
        <f>IF(L$9="One",One!$D94,IF(L$9="Two",Two!$D94,IF(L$9="Three",Three!$D94,"")))</f>
        <v/>
      </c>
      <c r="M94" s="13" t="str">
        <f>IF(M$9="One",One!$D94,IF(M$9="Two",Two!$D94,IF(M$9="Three",Three!$D94,"")))</f>
        <v/>
      </c>
      <c r="N94" s="13" t="str">
        <f>IF(N$9="One",One!$D94,IF(N$9="Two",Two!$D94,IF(N$9="Three",Three!$D94,"")))</f>
        <v/>
      </c>
      <c r="O94" s="13" t="str">
        <f>IF(O$9="One",One!$D94,IF(O$9="Two",Two!$D94,IF(O$9="Three",Three!$D94,"")))</f>
        <v/>
      </c>
      <c r="P94" s="13" t="str">
        <f>IF(P$9="One",One!$D94,IF(P$9="Two",Two!$D94,IF(P$9="Three",Three!$D94,"")))</f>
        <v/>
      </c>
      <c r="Q94" s="13" t="str">
        <f>IF(Q$9="One",One!$D94,IF(Q$9="Two",Two!$D94,IF(Q$9="Three",Three!$D94,"")))</f>
        <v/>
      </c>
      <c r="R94" s="13" t="str">
        <f>IF(R$9="One",One!$D94,IF(R$9="Two",Two!$D94,IF(R$9="Three",Three!$D94,"")))</f>
        <v/>
      </c>
      <c r="S94" s="13" t="str">
        <f>IF(S$9="One",One!$D94,IF(S$9="Two",Two!$D94,IF(S$9="Three",Three!$D94,"")))</f>
        <v/>
      </c>
      <c r="T94" s="13" t="str">
        <f>IF(T$9="One",One!$D94,IF(T$9="Two",Two!$D94,IF(T$9="Three",Three!$D94,"")))</f>
        <v/>
      </c>
      <c r="U94" s="13" t="str">
        <f>IF(U$9="One",One!$D94,IF(U$9="Two",Two!$D94,IF(U$9="Three",Three!$D94,"")))</f>
        <v/>
      </c>
      <c r="V94" s="13" t="str">
        <f>IF(V$9="One",One!$D94,IF(V$9="Two",Two!$D94,IF(V$9="Three",Three!$D94,"")))</f>
        <v/>
      </c>
      <c r="W94" s="13" t="str">
        <f>IF(W$9="One",One!$D94,IF(W$9="Two",Two!$D94,IF(W$9="Three",Three!$D94,"")))</f>
        <v/>
      </c>
    </row>
    <row r="95" spans="3:23">
      <c r="C95" s="12"/>
      <c r="D95" s="14"/>
      <c r="E95" s="13" t="str">
        <f>IF(E$9="One",One!$D95,IF(E$9="Two",Two!$D95,IF(E$9="Three",Three!$D95,"")))</f>
        <v/>
      </c>
      <c r="F95" s="13" t="str">
        <f>IF(F$9="One",One!$D95,IF(F$9="Two",Two!$D95,IF(F$9="Three",Three!$D95,"")))</f>
        <v/>
      </c>
      <c r="G95" s="13" t="str">
        <f>IF(G$9="One",One!$D95,IF(G$9="Two",Two!$D95,IF(G$9="Three",Three!$D95,"")))</f>
        <v/>
      </c>
      <c r="H95" s="13" t="str">
        <f>IF(H$9="One",One!$D95,IF(H$9="Two",Two!$D95,IF(H$9="Three",Three!$D95,"")))</f>
        <v/>
      </c>
      <c r="I95" s="13" t="str">
        <f>IF(I$9="One",One!$D95,IF(I$9="Two",Two!$D95,IF(I$9="Three",Three!$D95,"")))</f>
        <v/>
      </c>
      <c r="J95" s="13" t="str">
        <f>IF(J$9="One",One!$D95,IF(J$9="Two",Two!$D95,IF(J$9="Three",Three!$D95,"")))</f>
        <v/>
      </c>
      <c r="K95" s="13" t="str">
        <f>IF(K$9="One",One!$D95,IF(K$9="Two",Two!$D95,IF(K$9="Three",Three!$D95,"")))</f>
        <v/>
      </c>
      <c r="L95" s="13" t="str">
        <f>IF(L$9="One",One!$D95,IF(L$9="Two",Two!$D95,IF(L$9="Three",Three!$D95,"")))</f>
        <v/>
      </c>
      <c r="M95" s="13" t="str">
        <f>IF(M$9="One",One!$D95,IF(M$9="Two",Two!$D95,IF(M$9="Three",Three!$D95,"")))</f>
        <v/>
      </c>
      <c r="N95" s="13" t="str">
        <f>IF(N$9="One",One!$D95,IF(N$9="Two",Two!$D95,IF(N$9="Three",Three!$D95,"")))</f>
        <v/>
      </c>
      <c r="O95" s="13" t="str">
        <f>IF(O$9="One",One!$D95,IF(O$9="Two",Two!$D95,IF(O$9="Three",Three!$D95,"")))</f>
        <v/>
      </c>
      <c r="P95" s="13" t="str">
        <f>IF(P$9="One",One!$D95,IF(P$9="Two",Two!$D95,IF(P$9="Three",Three!$D95,"")))</f>
        <v/>
      </c>
      <c r="Q95" s="13" t="str">
        <f>IF(Q$9="One",One!$D95,IF(Q$9="Two",Two!$D95,IF(Q$9="Three",Three!$D95,"")))</f>
        <v/>
      </c>
      <c r="R95" s="13" t="str">
        <f>IF(R$9="One",One!$D95,IF(R$9="Two",Two!$D95,IF(R$9="Three",Three!$D95,"")))</f>
        <v/>
      </c>
      <c r="S95" s="13" t="str">
        <f>IF(S$9="One",One!$D95,IF(S$9="Two",Two!$D95,IF(S$9="Three",Three!$D95,"")))</f>
        <v/>
      </c>
      <c r="T95" s="13" t="str">
        <f>IF(T$9="One",One!$D95,IF(T$9="Two",Two!$D95,IF(T$9="Three",Three!$D95,"")))</f>
        <v/>
      </c>
      <c r="U95" s="13" t="str">
        <f>IF(U$9="One",One!$D95,IF(U$9="Two",Two!$D95,IF(U$9="Three",Three!$D95,"")))</f>
        <v/>
      </c>
      <c r="V95" s="13" t="str">
        <f>IF(V$9="One",One!$D95,IF(V$9="Two",Two!$D95,IF(V$9="Three",Three!$D95,"")))</f>
        <v/>
      </c>
      <c r="W95" s="13" t="str">
        <f>IF(W$9="One",One!$D95,IF(W$9="Two",Two!$D95,IF(W$9="Three",Three!$D95,"")))</f>
        <v/>
      </c>
    </row>
    <row r="96" spans="3:23">
      <c r="C96" s="12"/>
      <c r="D96" s="14"/>
      <c r="E96" s="13" t="str">
        <f>IF(E$9="One",One!$D96,IF(E$9="Two",Two!$D96,IF(E$9="Three",Three!$D96,"")))</f>
        <v/>
      </c>
      <c r="F96" s="13" t="str">
        <f>IF(F$9="One",One!$D96,IF(F$9="Two",Two!$D96,IF(F$9="Three",Three!$D96,"")))</f>
        <v/>
      </c>
      <c r="G96" s="13" t="str">
        <f>IF(G$9="One",One!$D96,IF(G$9="Two",Two!$D96,IF(G$9="Three",Three!$D96,"")))</f>
        <v/>
      </c>
      <c r="H96" s="13" t="str">
        <f>IF(H$9="One",One!$D96,IF(H$9="Two",Two!$D96,IF(H$9="Three",Three!$D96,"")))</f>
        <v/>
      </c>
      <c r="I96" s="13" t="str">
        <f>IF(I$9="One",One!$D96,IF(I$9="Two",Two!$D96,IF(I$9="Three",Three!$D96,"")))</f>
        <v/>
      </c>
      <c r="J96" s="13" t="str">
        <f>IF(J$9="One",One!$D96,IF(J$9="Two",Two!$D96,IF(J$9="Three",Three!$D96,"")))</f>
        <v/>
      </c>
      <c r="K96" s="13" t="str">
        <f>IF(K$9="One",One!$D96,IF(K$9="Two",Two!$D96,IF(K$9="Three",Three!$D96,"")))</f>
        <v/>
      </c>
      <c r="L96" s="13" t="str">
        <f>IF(L$9="One",One!$D96,IF(L$9="Two",Two!$D96,IF(L$9="Three",Three!$D96,"")))</f>
        <v/>
      </c>
      <c r="M96" s="13" t="str">
        <f>IF(M$9="One",One!$D96,IF(M$9="Two",Two!$D96,IF(M$9="Three",Three!$D96,"")))</f>
        <v/>
      </c>
      <c r="N96" s="13" t="str">
        <f>IF(N$9="One",One!$D96,IF(N$9="Two",Two!$D96,IF(N$9="Three",Three!$D96,"")))</f>
        <v/>
      </c>
      <c r="O96" s="13" t="str">
        <f>IF(O$9="One",One!$D96,IF(O$9="Two",Two!$D96,IF(O$9="Three",Three!$D96,"")))</f>
        <v/>
      </c>
      <c r="P96" s="13" t="str">
        <f>IF(P$9="One",One!$D96,IF(P$9="Two",Two!$D96,IF(P$9="Three",Three!$D96,"")))</f>
        <v/>
      </c>
      <c r="Q96" s="13" t="str">
        <f>IF(Q$9="One",One!$D96,IF(Q$9="Two",Two!$D96,IF(Q$9="Three",Three!$D96,"")))</f>
        <v/>
      </c>
      <c r="R96" s="13" t="str">
        <f>IF(R$9="One",One!$D96,IF(R$9="Two",Two!$D96,IF(R$9="Three",Three!$D96,"")))</f>
        <v/>
      </c>
      <c r="S96" s="13" t="str">
        <f>IF(S$9="One",One!$D96,IF(S$9="Two",Two!$D96,IF(S$9="Three",Three!$D96,"")))</f>
        <v/>
      </c>
      <c r="T96" s="13" t="str">
        <f>IF(T$9="One",One!$D96,IF(T$9="Two",Two!$D96,IF(T$9="Three",Three!$D96,"")))</f>
        <v/>
      </c>
      <c r="U96" s="13" t="str">
        <f>IF(U$9="One",One!$D96,IF(U$9="Two",Two!$D96,IF(U$9="Three",Three!$D96,"")))</f>
        <v/>
      </c>
      <c r="V96" s="13" t="str">
        <f>IF(V$9="One",One!$D96,IF(V$9="Two",Two!$D96,IF(V$9="Three",Three!$D96,"")))</f>
        <v/>
      </c>
      <c r="W96" s="13" t="str">
        <f>IF(W$9="One",One!$D96,IF(W$9="Two",Two!$D96,IF(W$9="Three",Three!$D96,"")))</f>
        <v/>
      </c>
    </row>
    <row r="97" spans="3:23">
      <c r="C97" s="12"/>
      <c r="D97" s="14"/>
      <c r="E97" s="13" t="str">
        <f>IF(E$9="One",One!$D97,IF(E$9="Two",Two!$D97,IF(E$9="Three",Three!$D97,"")))</f>
        <v/>
      </c>
      <c r="F97" s="13" t="str">
        <f>IF(F$9="One",One!$D97,IF(F$9="Two",Two!$D97,IF(F$9="Three",Three!$D97,"")))</f>
        <v/>
      </c>
      <c r="G97" s="13" t="str">
        <f>IF(G$9="One",One!$D97,IF(G$9="Two",Two!$D97,IF(G$9="Three",Three!$D97,"")))</f>
        <v/>
      </c>
      <c r="H97" s="13" t="str">
        <f>IF(H$9="One",One!$D97,IF(H$9="Two",Two!$D97,IF(H$9="Three",Three!$D97,"")))</f>
        <v/>
      </c>
      <c r="I97" s="13" t="str">
        <f>IF(I$9="One",One!$D97,IF(I$9="Two",Two!$D97,IF(I$9="Three",Three!$D97,"")))</f>
        <v/>
      </c>
      <c r="J97" s="13" t="str">
        <f>IF(J$9="One",One!$D97,IF(J$9="Two",Two!$D97,IF(J$9="Three",Three!$D97,"")))</f>
        <v/>
      </c>
      <c r="K97" s="13" t="str">
        <f>IF(K$9="One",One!$D97,IF(K$9="Two",Two!$D97,IF(K$9="Three",Three!$D97,"")))</f>
        <v/>
      </c>
      <c r="L97" s="13" t="str">
        <f>IF(L$9="One",One!$D97,IF(L$9="Two",Two!$D97,IF(L$9="Three",Three!$D97,"")))</f>
        <v/>
      </c>
      <c r="M97" s="13" t="str">
        <f>IF(M$9="One",One!$D97,IF(M$9="Two",Two!$D97,IF(M$9="Three",Three!$D97,"")))</f>
        <v/>
      </c>
      <c r="N97" s="13" t="str">
        <f>IF(N$9="One",One!$D97,IF(N$9="Two",Two!$D97,IF(N$9="Three",Three!$D97,"")))</f>
        <v/>
      </c>
      <c r="O97" s="13" t="str">
        <f>IF(O$9="One",One!$D97,IF(O$9="Two",Two!$D97,IF(O$9="Three",Three!$D97,"")))</f>
        <v/>
      </c>
      <c r="P97" s="13" t="str">
        <f>IF(P$9="One",One!$D97,IF(P$9="Two",Two!$D97,IF(P$9="Three",Three!$D97,"")))</f>
        <v/>
      </c>
      <c r="Q97" s="13" t="str">
        <f>IF(Q$9="One",One!$D97,IF(Q$9="Two",Two!$D97,IF(Q$9="Three",Three!$D97,"")))</f>
        <v/>
      </c>
      <c r="R97" s="13" t="str">
        <f>IF(R$9="One",One!$D97,IF(R$9="Two",Two!$D97,IF(R$9="Three",Three!$D97,"")))</f>
        <v/>
      </c>
      <c r="S97" s="13" t="str">
        <f>IF(S$9="One",One!$D97,IF(S$9="Two",Two!$D97,IF(S$9="Three",Three!$D97,"")))</f>
        <v/>
      </c>
      <c r="T97" s="13" t="str">
        <f>IF(T$9="One",One!$D97,IF(T$9="Two",Two!$D97,IF(T$9="Three",Three!$D97,"")))</f>
        <v/>
      </c>
      <c r="U97" s="13" t="str">
        <f>IF(U$9="One",One!$D97,IF(U$9="Two",Two!$D97,IF(U$9="Three",Three!$D97,"")))</f>
        <v/>
      </c>
      <c r="V97" s="13" t="str">
        <f>IF(V$9="One",One!$D97,IF(V$9="Two",Two!$D97,IF(V$9="Three",Three!$D97,"")))</f>
        <v/>
      </c>
      <c r="W97" s="13" t="str">
        <f>IF(W$9="One",One!$D97,IF(W$9="Two",Two!$D97,IF(W$9="Three",Three!$D97,"")))</f>
        <v/>
      </c>
    </row>
    <row r="98" spans="3:23">
      <c r="C98" s="12"/>
      <c r="D98" s="14"/>
      <c r="E98" s="13" t="str">
        <f>IF(E$9="One",One!$D98,IF(E$9="Two",Two!$D98,IF(E$9="Three",Three!$D98,"")))</f>
        <v/>
      </c>
      <c r="F98" s="13" t="str">
        <f>IF(F$9="One",One!$D98,IF(F$9="Two",Two!$D98,IF(F$9="Three",Three!$D98,"")))</f>
        <v/>
      </c>
      <c r="G98" s="13" t="str">
        <f>IF(G$9="One",One!$D98,IF(G$9="Two",Two!$D98,IF(G$9="Three",Three!$D98,"")))</f>
        <v/>
      </c>
      <c r="H98" s="13" t="str">
        <f>IF(H$9="One",One!$D98,IF(H$9="Two",Two!$D98,IF(H$9="Three",Three!$D98,"")))</f>
        <v/>
      </c>
      <c r="I98" s="13" t="str">
        <f>IF(I$9="One",One!$D98,IF(I$9="Two",Two!$D98,IF(I$9="Three",Three!$D98,"")))</f>
        <v/>
      </c>
      <c r="J98" s="13" t="str">
        <f>IF(J$9="One",One!$D98,IF(J$9="Two",Two!$D98,IF(J$9="Three",Three!$D98,"")))</f>
        <v/>
      </c>
      <c r="K98" s="13" t="str">
        <f>IF(K$9="One",One!$D98,IF(K$9="Two",Two!$D98,IF(K$9="Three",Three!$D98,"")))</f>
        <v/>
      </c>
      <c r="L98" s="13" t="str">
        <f>IF(L$9="One",One!$D98,IF(L$9="Two",Two!$D98,IF(L$9="Three",Three!$D98,"")))</f>
        <v/>
      </c>
      <c r="M98" s="13" t="str">
        <f>IF(M$9="One",One!$D98,IF(M$9="Two",Two!$D98,IF(M$9="Three",Three!$D98,"")))</f>
        <v/>
      </c>
      <c r="N98" s="13" t="str">
        <f>IF(N$9="One",One!$D98,IF(N$9="Two",Two!$D98,IF(N$9="Three",Three!$D98,"")))</f>
        <v/>
      </c>
      <c r="O98" s="13" t="str">
        <f>IF(O$9="One",One!$D98,IF(O$9="Two",Two!$D98,IF(O$9="Three",Three!$D98,"")))</f>
        <v/>
      </c>
      <c r="P98" s="13" t="str">
        <f>IF(P$9="One",One!$D98,IF(P$9="Two",Two!$D98,IF(P$9="Three",Three!$D98,"")))</f>
        <v/>
      </c>
      <c r="Q98" s="13" t="str">
        <f>IF(Q$9="One",One!$D98,IF(Q$9="Two",Two!$D98,IF(Q$9="Three",Three!$D98,"")))</f>
        <v/>
      </c>
      <c r="R98" s="13" t="str">
        <f>IF(R$9="One",One!$D98,IF(R$9="Two",Two!$D98,IF(R$9="Three",Three!$D98,"")))</f>
        <v/>
      </c>
      <c r="S98" s="13" t="str">
        <f>IF(S$9="One",One!$D98,IF(S$9="Two",Two!$D98,IF(S$9="Three",Three!$D98,"")))</f>
        <v/>
      </c>
      <c r="T98" s="13" t="str">
        <f>IF(T$9="One",One!$D98,IF(T$9="Two",Two!$D98,IF(T$9="Three",Three!$D98,"")))</f>
        <v/>
      </c>
      <c r="U98" s="13" t="str">
        <f>IF(U$9="One",One!$D98,IF(U$9="Two",Two!$D98,IF(U$9="Three",Three!$D98,"")))</f>
        <v/>
      </c>
      <c r="V98" s="13" t="str">
        <f>IF(V$9="One",One!$D98,IF(V$9="Two",Two!$D98,IF(V$9="Three",Three!$D98,"")))</f>
        <v/>
      </c>
      <c r="W98" s="13" t="str">
        <f>IF(W$9="One",One!$D98,IF(W$9="Two",Two!$D98,IF(W$9="Three",Three!$D98,"")))</f>
        <v/>
      </c>
    </row>
    <row r="99" spans="3:23">
      <c r="C99" s="12"/>
      <c r="D99" s="14"/>
      <c r="E99" s="13" t="str">
        <f>IF(E$9="One",One!$D99,IF(E$9="Two",Two!$D99,IF(E$9="Three",Three!$D99,"")))</f>
        <v/>
      </c>
      <c r="F99" s="13" t="str">
        <f>IF(F$9="One",One!$D99,IF(F$9="Two",Two!$D99,IF(F$9="Three",Three!$D99,"")))</f>
        <v/>
      </c>
      <c r="G99" s="13" t="str">
        <f>IF(G$9="One",One!$D99,IF(G$9="Two",Two!$D99,IF(G$9="Three",Three!$D99,"")))</f>
        <v/>
      </c>
      <c r="H99" s="13" t="str">
        <f>IF(H$9="One",One!$D99,IF(H$9="Two",Two!$D99,IF(H$9="Three",Three!$D99,"")))</f>
        <v/>
      </c>
      <c r="I99" s="13" t="str">
        <f>IF(I$9="One",One!$D99,IF(I$9="Two",Two!$D99,IF(I$9="Three",Three!$D99,"")))</f>
        <v/>
      </c>
      <c r="J99" s="13" t="str">
        <f>IF(J$9="One",One!$D99,IF(J$9="Two",Two!$D99,IF(J$9="Three",Three!$D99,"")))</f>
        <v/>
      </c>
      <c r="K99" s="13" t="str">
        <f>IF(K$9="One",One!$D99,IF(K$9="Two",Two!$D99,IF(K$9="Three",Three!$D99,"")))</f>
        <v/>
      </c>
      <c r="L99" s="13" t="str">
        <f>IF(L$9="One",One!$D99,IF(L$9="Two",Two!$D99,IF(L$9="Three",Three!$D99,"")))</f>
        <v/>
      </c>
      <c r="M99" s="13" t="str">
        <f>IF(M$9="One",One!$D99,IF(M$9="Two",Two!$D99,IF(M$9="Three",Three!$D99,"")))</f>
        <v/>
      </c>
      <c r="N99" s="13" t="str">
        <f>IF(N$9="One",One!$D99,IF(N$9="Two",Two!$D99,IF(N$9="Three",Three!$D99,"")))</f>
        <v/>
      </c>
      <c r="O99" s="13" t="str">
        <f>IF(O$9="One",One!$D99,IF(O$9="Two",Two!$D99,IF(O$9="Three",Three!$D99,"")))</f>
        <v/>
      </c>
      <c r="P99" s="13" t="str">
        <f>IF(P$9="One",One!$D99,IF(P$9="Two",Two!$D99,IF(P$9="Three",Three!$D99,"")))</f>
        <v/>
      </c>
      <c r="Q99" s="13" t="str">
        <f>IF(Q$9="One",One!$D99,IF(Q$9="Two",Two!$D99,IF(Q$9="Three",Three!$D99,"")))</f>
        <v/>
      </c>
      <c r="R99" s="13" t="str">
        <f>IF(R$9="One",One!$D99,IF(R$9="Two",Two!$D99,IF(R$9="Three",Three!$D99,"")))</f>
        <v/>
      </c>
      <c r="S99" s="13" t="str">
        <f>IF(S$9="One",One!$D99,IF(S$9="Two",Two!$D99,IF(S$9="Three",Three!$D99,"")))</f>
        <v/>
      </c>
      <c r="T99" s="13" t="str">
        <f>IF(T$9="One",One!$D99,IF(T$9="Two",Two!$D99,IF(T$9="Three",Three!$D99,"")))</f>
        <v/>
      </c>
      <c r="U99" s="13" t="str">
        <f>IF(U$9="One",One!$D99,IF(U$9="Two",Two!$D99,IF(U$9="Three",Three!$D99,"")))</f>
        <v/>
      </c>
      <c r="V99" s="13" t="str">
        <f>IF(V$9="One",One!$D99,IF(V$9="Two",Two!$D99,IF(V$9="Three",Three!$D99,"")))</f>
        <v/>
      </c>
      <c r="W99" s="13" t="str">
        <f>IF(W$9="One",One!$D99,IF(W$9="Two",Two!$D99,IF(W$9="Three",Three!$D99,"")))</f>
        <v/>
      </c>
    </row>
    <row r="100" spans="3:23">
      <c r="C100" s="12"/>
      <c r="D100" s="14"/>
      <c r="E100" s="13" t="str">
        <f>IF(E$9="One",One!$D100,IF(E$9="Two",Two!$D100,IF(E$9="Three",Three!$D100,"")))</f>
        <v/>
      </c>
      <c r="F100" s="13" t="str">
        <f>IF(F$9="One",One!$D100,IF(F$9="Two",Two!$D100,IF(F$9="Three",Three!$D100,"")))</f>
        <v/>
      </c>
      <c r="G100" s="13" t="str">
        <f>IF(G$9="One",One!$D100,IF(G$9="Two",Two!$D100,IF(G$9="Three",Three!$D100,"")))</f>
        <v/>
      </c>
      <c r="H100" s="13" t="str">
        <f>IF(H$9="One",One!$D100,IF(H$9="Two",Two!$D100,IF(H$9="Three",Three!$D100,"")))</f>
        <v/>
      </c>
      <c r="I100" s="13" t="str">
        <f>IF(I$9="One",One!$D100,IF(I$9="Two",Two!$D100,IF(I$9="Three",Three!$D100,"")))</f>
        <v/>
      </c>
      <c r="J100" s="13" t="str">
        <f>IF(J$9="One",One!$D100,IF(J$9="Two",Two!$D100,IF(J$9="Three",Three!$D100,"")))</f>
        <v/>
      </c>
      <c r="K100" s="13" t="str">
        <f>IF(K$9="One",One!$D100,IF(K$9="Two",Two!$D100,IF(K$9="Three",Three!$D100,"")))</f>
        <v/>
      </c>
      <c r="L100" s="13" t="str">
        <f>IF(L$9="One",One!$D100,IF(L$9="Two",Two!$D100,IF(L$9="Three",Three!$D100,"")))</f>
        <v/>
      </c>
      <c r="M100" s="13" t="str">
        <f>IF(M$9="One",One!$D100,IF(M$9="Two",Two!$D100,IF(M$9="Three",Three!$D100,"")))</f>
        <v/>
      </c>
      <c r="N100" s="13" t="str">
        <f>IF(N$9="One",One!$D100,IF(N$9="Two",Two!$D100,IF(N$9="Three",Three!$D100,"")))</f>
        <v/>
      </c>
      <c r="O100" s="13" t="str">
        <f>IF(O$9="One",One!$D100,IF(O$9="Two",Two!$D100,IF(O$9="Three",Three!$D100,"")))</f>
        <v/>
      </c>
      <c r="P100" s="13" t="str">
        <f>IF(P$9="One",One!$D100,IF(P$9="Two",Two!$D100,IF(P$9="Three",Three!$D100,"")))</f>
        <v/>
      </c>
      <c r="Q100" s="13" t="str">
        <f>IF(Q$9="One",One!$D100,IF(Q$9="Two",Two!$D100,IF(Q$9="Three",Three!$D100,"")))</f>
        <v/>
      </c>
      <c r="R100" s="13" t="str">
        <f>IF(R$9="One",One!$D100,IF(R$9="Two",Two!$D100,IF(R$9="Three",Three!$D100,"")))</f>
        <v/>
      </c>
      <c r="S100" s="13" t="str">
        <f>IF(S$9="One",One!$D100,IF(S$9="Two",Two!$D100,IF(S$9="Three",Three!$D100,"")))</f>
        <v/>
      </c>
      <c r="T100" s="13" t="str">
        <f>IF(T$9="One",One!$D100,IF(T$9="Two",Two!$D100,IF(T$9="Three",Three!$D100,"")))</f>
        <v/>
      </c>
      <c r="U100" s="13" t="str">
        <f>IF(U$9="One",One!$D100,IF(U$9="Two",Two!$D100,IF(U$9="Three",Three!$D100,"")))</f>
        <v/>
      </c>
      <c r="V100" s="13" t="str">
        <f>IF(V$9="One",One!$D100,IF(V$9="Two",Two!$D100,IF(V$9="Three",Three!$D100,"")))</f>
        <v/>
      </c>
      <c r="W100" s="13" t="str">
        <f>IF(W$9="One",One!$D100,IF(W$9="Two",Two!$D100,IF(W$9="Three",Three!$D100,"")))</f>
        <v/>
      </c>
    </row>
  </sheetData>
  <dataValidations count="1">
    <dataValidation type="list" allowBlank="1" showInputMessage="1" showErrorMessage="1" sqref="E9:W9">
      <formula1>$Y$1:$Y$4</formula1>
    </dataValidation>
  </dataValidations>
  <pageMargins left="0.75" right="0.75" top="1" bottom="1" header="0.5" footer="0.5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btnSecond.Button3_Click">
                <anchor moveWithCells="1" sizeWithCells="1">
                  <from>
                    <xdr:col>4</xdr:col>
                    <xdr:colOff>0</xdr:colOff>
                    <xdr:row>1</xdr:row>
                    <xdr:rowOff>9525</xdr:rowOff>
                  </from>
                  <to>
                    <xdr:col>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MyTotal.MyTotal">
                <anchor moveWithCells="1" sizeWithCells="1">
                  <from>
                    <xdr:col>2</xdr:col>
                    <xdr:colOff>809625</xdr:colOff>
                    <xdr:row>4</xdr:row>
                    <xdr:rowOff>161925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BK100"/>
  <sheetViews>
    <sheetView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F9" sqref="F9"/>
    </sheetView>
  </sheetViews>
  <sheetFormatPr defaultColWidth="11" defaultRowHeight="15.75"/>
  <sheetData>
    <row r="1" spans="1:63">
      <c r="A1" s="1" t="str">
        <f>CONCATENATE("Integrated Course Design Tool - ",B4)</f>
        <v xml:space="preserve">Integrated Course Design Tool - </v>
      </c>
    </row>
    <row r="2" spans="1:63">
      <c r="A2" t="s">
        <v>0</v>
      </c>
      <c r="B2" t="str">
        <f>CONCATENATE(LO!B2," (",LO!B4,")")</f>
        <v xml:space="preserve"> ()</v>
      </c>
    </row>
    <row r="3" spans="1:63">
      <c r="A3" t="s">
        <v>1</v>
      </c>
      <c r="B3">
        <f>LO!B3</f>
        <v>0</v>
      </c>
    </row>
    <row r="4" spans="1:63">
      <c r="A4" t="s">
        <v>16</v>
      </c>
    </row>
    <row r="6" spans="1:63">
      <c r="A6" s="1" t="s">
        <v>10</v>
      </c>
      <c r="B6" s="1" t="s">
        <v>11</v>
      </c>
      <c r="C6" s="1" t="s">
        <v>12</v>
      </c>
      <c r="D6" s="6" t="s">
        <v>13</v>
      </c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</row>
    <row r="7" spans="1:63">
      <c r="A7" s="1" t="s">
        <v>14</v>
      </c>
      <c r="B7" s="1" t="s">
        <v>14</v>
      </c>
      <c r="C7" s="1" t="s">
        <v>15</v>
      </c>
      <c r="D7" s="8">
        <f>SUM(E7:X7)</f>
        <v>0</v>
      </c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Z7" s="6" t="s">
        <v>90</v>
      </c>
      <c r="AA7" s="6" t="s">
        <v>91</v>
      </c>
      <c r="AB7" s="6" t="s">
        <v>92</v>
      </c>
      <c r="AC7" s="6" t="s">
        <v>93</v>
      </c>
      <c r="AD7" s="6" t="s">
        <v>94</v>
      </c>
      <c r="AE7" s="6" t="s">
        <v>95</v>
      </c>
      <c r="AF7" s="6" t="s">
        <v>96</v>
      </c>
      <c r="AG7" s="6" t="s">
        <v>97</v>
      </c>
      <c r="AH7" s="6" t="s">
        <v>98</v>
      </c>
      <c r="AI7" s="6" t="s">
        <v>99</v>
      </c>
      <c r="AJ7" s="6" t="s">
        <v>100</v>
      </c>
      <c r="AK7" s="6" t="s">
        <v>101</v>
      </c>
      <c r="AM7" s="6" t="s">
        <v>90</v>
      </c>
      <c r="AN7" s="6" t="s">
        <v>91</v>
      </c>
      <c r="AO7" s="6" t="s">
        <v>92</v>
      </c>
      <c r="AP7" s="6" t="s">
        <v>93</v>
      </c>
      <c r="AQ7" s="6" t="s">
        <v>94</v>
      </c>
      <c r="AR7" s="6" t="s">
        <v>95</v>
      </c>
      <c r="AS7" s="6" t="s">
        <v>96</v>
      </c>
      <c r="AT7" s="6" t="s">
        <v>97</v>
      </c>
      <c r="AU7" s="6" t="s">
        <v>98</v>
      </c>
      <c r="AV7" s="6" t="s">
        <v>99</v>
      </c>
      <c r="AW7" s="6" t="s">
        <v>100</v>
      </c>
      <c r="AX7" s="6" t="s">
        <v>101</v>
      </c>
      <c r="AZ7" s="6" t="s">
        <v>90</v>
      </c>
      <c r="BA7" s="6" t="s">
        <v>91</v>
      </c>
      <c r="BB7" s="6" t="s">
        <v>92</v>
      </c>
      <c r="BC7" s="6" t="s">
        <v>93</v>
      </c>
      <c r="BD7" s="6" t="s">
        <v>94</v>
      </c>
      <c r="BE7" s="6" t="s">
        <v>95</v>
      </c>
      <c r="BF7" s="6" t="s">
        <v>96</v>
      </c>
      <c r="BG7" s="6" t="s">
        <v>97</v>
      </c>
      <c r="BH7" s="6" t="s">
        <v>98</v>
      </c>
      <c r="BI7" s="6" t="s">
        <v>99</v>
      </c>
      <c r="BJ7" s="6" t="s">
        <v>100</v>
      </c>
      <c r="BK7" s="6" t="s">
        <v>101</v>
      </c>
    </row>
    <row r="8" spans="1:63" hidden="1">
      <c r="A8" s="9"/>
      <c r="B8" s="9"/>
      <c r="C8" s="9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</row>
    <row r="9" spans="1:63">
      <c r="D9" s="11" t="s">
        <v>17</v>
      </c>
      <c r="E9" s="8" t="str">
        <f>IFERROR(LEFT(INDEX(LO!$B8:$C28,MATCH(E8,LO!$B8:$B28,0),2),6),"-")</f>
        <v>-</v>
      </c>
      <c r="F9" s="8" t="str">
        <f>IFERROR(LEFT(INDEX(LO!$B8:$C28,MATCH(F8,LO!$B8:$B28,0),2),6),"-")</f>
        <v>-</v>
      </c>
      <c r="G9" s="8" t="str">
        <f>IFERROR(LEFT(INDEX(LO!$B8:$C28,MATCH(G8,LO!$B8:$B28,0),2),6),"-")</f>
        <v>-</v>
      </c>
      <c r="H9" s="8" t="str">
        <f>IFERROR(LEFT(INDEX(LO!$B8:$C28,MATCH(H8,LO!$B8:$B28,0),2),6),"-")</f>
        <v>-</v>
      </c>
      <c r="I9" s="8" t="str">
        <f>IFERROR(LEFT(INDEX(LO!$B8:$C28,MATCH(I8,LO!$B8:$B28,0),2),6),"-")</f>
        <v>-</v>
      </c>
      <c r="J9" s="8" t="str">
        <f>IFERROR(LEFT(INDEX(LO!$B8:$C28,MATCH(J8,LO!$B8:$B28,0),2),6),"-")</f>
        <v>-</v>
      </c>
      <c r="K9" s="8" t="str">
        <f>IFERROR(LEFT(INDEX(LO!$B8:$C28,MATCH(K8,LO!$B8:$B28,0),2),6),"-")</f>
        <v>-</v>
      </c>
      <c r="L9" s="8" t="str">
        <f>IFERROR(LEFT(INDEX(LO!$B8:$C28,MATCH(L8,LO!$B8:$B28,0),2),6),"-")</f>
        <v>-</v>
      </c>
      <c r="M9" s="8" t="str">
        <f>IFERROR(LEFT(INDEX(LO!$B8:$C28,MATCH(M8,LO!$B8:$B28,0),2),6),"-")</f>
        <v>-</v>
      </c>
      <c r="N9" s="8" t="str">
        <f>IFERROR(LEFT(INDEX(LO!$B8:$C28,MATCH(N8,LO!$B8:$B28,0),2),6),"-")</f>
        <v>-</v>
      </c>
      <c r="O9" s="8" t="str">
        <f>IFERROR(LEFT(INDEX(LO!$B8:$C28,MATCH(O8,LO!$B8:$B28,0),2),6),"-")</f>
        <v>-</v>
      </c>
      <c r="P9" s="8" t="str">
        <f>IFERROR(LEFT(INDEX(LO!$B8:$C28,MATCH(P8,LO!$B8:$B28,0),2),6),"-")</f>
        <v>-</v>
      </c>
      <c r="Q9" s="8" t="str">
        <f>IFERROR(LEFT(INDEX(LO!$B8:$C28,MATCH(Q8,LO!$B8:$B28,0),2),6),"-")</f>
        <v>-</v>
      </c>
      <c r="R9" s="8" t="str">
        <f>IFERROR(LEFT(INDEX(LO!$B8:$C28,MATCH(R8,LO!$B8:$B28,0),2),6),"-")</f>
        <v>-</v>
      </c>
      <c r="S9" s="8" t="str">
        <f>IFERROR(LEFT(INDEX(LO!$B8:$C28,MATCH(S8,LO!$B8:$B28,0),2),6),"-")</f>
        <v>-</v>
      </c>
      <c r="T9" s="8" t="str">
        <f>IFERROR(LEFT(INDEX(LO!$B8:$C28,MATCH(T8,LO!$B8:$B28,0),2),6),"-")</f>
        <v>-</v>
      </c>
      <c r="U9" s="8" t="str">
        <f>IFERROR(LEFT(INDEX(LO!$B8:$C28,MATCH(U8,LO!$B8:$B28,0),2),6),"-")</f>
        <v>-</v>
      </c>
      <c r="V9" s="8" t="str">
        <f>IFERROR(LEFT(INDEX(LO!$B8:$C28,MATCH(V8,LO!$B8:$B28,0),2),6),"-")</f>
        <v>-</v>
      </c>
      <c r="W9" s="8" t="str">
        <f>IFERROR(LEFT(INDEX(LO!$B8:$C28,MATCH(W8,LO!$B8:$B28,0),2),6),"-")</f>
        <v>-</v>
      </c>
      <c r="X9" s="8" t="str">
        <f>IFERROR(LEFT(INDEX(LO!$B8:$C28,MATCH(X8,LO!$B8:$B28,0),2),6),"-")</f>
        <v>-</v>
      </c>
      <c r="Z9" s="8">
        <f>SUMIF($E$9:$X$9,"3.1.1 ",$E7:$X7)</f>
        <v>0</v>
      </c>
      <c r="AA9" s="8">
        <f>SUMIF($E$9:$X$9,"3.1.2 ",$E7:$X7)</f>
        <v>0</v>
      </c>
      <c r="AB9" s="8">
        <f>SUMIF($E$9:$X$9,"3.1.3 ",$E7:$X7)</f>
        <v>0</v>
      </c>
      <c r="AC9" s="8">
        <f>SUMIF($E$9:$X$9,"3.1.4 ",$E7:$X7)</f>
        <v>0</v>
      </c>
      <c r="AD9" s="8">
        <f>SUMIF($E$9:$X$9,"3.1.5 ",$E7:$X7)</f>
        <v>0</v>
      </c>
      <c r="AE9" s="8">
        <f>SUMIF($E$9:$X$9,"3.1.6 ",$E7:$X7)</f>
        <v>0</v>
      </c>
      <c r="AF9" s="8">
        <f>SUMIF($E$9:$X$9,"3.1.7 ",$E7:$X7)</f>
        <v>0</v>
      </c>
      <c r="AG9" s="8">
        <f>SUMIF($E$9:$X$9,"3.1.8 ",$E7:$X7)</f>
        <v>0</v>
      </c>
      <c r="AH9" s="8">
        <f>SUMIF($E$9:$X$9,"3.1.9 ",$E7:$X7)</f>
        <v>0</v>
      </c>
      <c r="AI9" s="8">
        <f>SUMIF($E$9:$X$9,"3.1.10",$E7:$X7)</f>
        <v>0</v>
      </c>
      <c r="AJ9" s="8">
        <f>SUMIF($E$9:$X$9,"3.1.11",$E7:$X7)</f>
        <v>0</v>
      </c>
      <c r="AK9" s="8">
        <f>SUMIF($E$9:$X$9,"3.1.12",$E7:$X7)</f>
        <v>0</v>
      </c>
    </row>
    <row r="10" spans="1:63">
      <c r="A10" t="str">
        <f>Grades!A10</f>
        <v>Last_1</v>
      </c>
      <c r="B10" t="str">
        <f>Grades!B10</f>
        <v>First_1</v>
      </c>
      <c r="C10" s="12">
        <f>Grades!C10</f>
        <v>35680162</v>
      </c>
      <c r="D10" s="13">
        <f t="shared" ref="D10:D37" si="0">SUM(E10:X10)</f>
        <v>0</v>
      </c>
      <c r="E10" s="13"/>
      <c r="F10" s="13"/>
      <c r="G10" s="13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13"/>
      <c r="Z10" s="13">
        <f t="shared" ref="Z10:Z41" si="1">SUMIF($E$9:$X$9,"3.1.1 ",$E10:$X10)</f>
        <v>0</v>
      </c>
      <c r="AA10" s="13">
        <f t="shared" ref="AA10:AA41" si="2">SUMIF($E$9:$X$9,"3.1.2 ",$E10:$X10)</f>
        <v>0</v>
      </c>
      <c r="AB10" s="13">
        <f t="shared" ref="AB10:AB41" si="3">SUMIF($E$9:$X$9,"3.1.3 ",$E10:$X10)</f>
        <v>0</v>
      </c>
      <c r="AC10" s="13">
        <f t="shared" ref="AC10:AC41" si="4">SUMIF($E$9:$X$9,"3.1.4 ",$E10:$X10)</f>
        <v>0</v>
      </c>
      <c r="AD10" s="13">
        <f t="shared" ref="AD10:AD41" si="5">SUMIF($E$9:$X$9,"3.1.5 ",$E10:$X10)</f>
        <v>0</v>
      </c>
      <c r="AE10" s="13">
        <f t="shared" ref="AE10:AE41" si="6">SUMIF($E$9:$X$9,"3.1.6 ",$E10:$X10)</f>
        <v>0</v>
      </c>
      <c r="AF10" s="13">
        <f t="shared" ref="AF10:AF41" si="7">SUMIF($E$9:$X$9,"3.1.7 ",$E10:$X10)</f>
        <v>0</v>
      </c>
      <c r="AG10" s="13">
        <f t="shared" ref="AG10:AG41" si="8">SUMIF($E$9:$X$9,"3.1.8 ",$E10:$X10)</f>
        <v>0</v>
      </c>
      <c r="AH10" s="13">
        <f t="shared" ref="AH10:AH41" si="9">SUMIF($E$9:$X$9,"3.1.9 ",$E10:$X10)</f>
        <v>0</v>
      </c>
      <c r="AI10" s="13">
        <f t="shared" ref="AI10:AI41" si="10">SUMIF($E$9:$X$9,"3.1.10",$E10:$X10)</f>
        <v>0</v>
      </c>
      <c r="AJ10" s="13">
        <f t="shared" ref="AJ10:AJ41" si="11">SUMIF($E$9:$X$9,"3.1.11",$E10:$X10)</f>
        <v>0</v>
      </c>
      <c r="AK10" s="13">
        <f t="shared" ref="AK10:AK41" si="12">SUMIF($E$9:$X$9,"3.1.12",$E10:$X10)</f>
        <v>0</v>
      </c>
      <c r="AM10" s="14">
        <f>IF(Z$9&gt;0,Z10/Z$9,0)</f>
        <v>0</v>
      </c>
      <c r="AN10" s="14">
        <f t="shared" ref="AN10:AX25" si="13">IF(AA$9&gt;0,AA10/AA$9,0)</f>
        <v>0</v>
      </c>
      <c r="AO10" s="14">
        <f t="shared" si="13"/>
        <v>0</v>
      </c>
      <c r="AP10" s="14">
        <f t="shared" si="13"/>
        <v>0</v>
      </c>
      <c r="AQ10" s="14">
        <f t="shared" si="13"/>
        <v>0</v>
      </c>
      <c r="AR10" s="14">
        <f t="shared" si="13"/>
        <v>0</v>
      </c>
      <c r="AS10" s="14">
        <f t="shared" si="13"/>
        <v>0</v>
      </c>
      <c r="AT10" s="14">
        <f t="shared" si="13"/>
        <v>0</v>
      </c>
      <c r="AU10" s="14">
        <f t="shared" si="13"/>
        <v>0</v>
      </c>
      <c r="AV10" s="14">
        <f t="shared" si="13"/>
        <v>0</v>
      </c>
      <c r="AW10" s="14">
        <f t="shared" si="13"/>
        <v>0</v>
      </c>
      <c r="AX10" s="14">
        <f t="shared" si="13"/>
        <v>0</v>
      </c>
      <c r="AY10" s="15" t="s">
        <v>83</v>
      </c>
      <c r="AZ10" s="15">
        <f>COUNTIF(AM$10:AM$100,"&gt;=" &amp; Summary!$B6)</f>
        <v>0</v>
      </c>
      <c r="BA10" s="15">
        <f>COUNTIF(AN$10:AN$100,"&gt;=" &amp; Summary!$B6)</f>
        <v>0</v>
      </c>
      <c r="BB10" s="15">
        <f>COUNTIF(AO$10:AO$100,"&gt;=" &amp; Summary!$B6)</f>
        <v>0</v>
      </c>
      <c r="BC10" s="15">
        <f>COUNTIF(AP$10:AP$100,"&gt;=" &amp; Summary!$B6)</f>
        <v>0</v>
      </c>
      <c r="BD10" s="15">
        <f>COUNTIF(AQ$10:AQ$100,"&gt;=" &amp; Summary!$B6)</f>
        <v>0</v>
      </c>
      <c r="BE10" s="15">
        <f>COUNTIF(AR$10:AR$100,"&gt;=" &amp; Summary!$B6)</f>
        <v>0</v>
      </c>
      <c r="BF10" s="15">
        <f>COUNTIF(AS$10:AS$100,"&gt;=" &amp; Summary!$B6)</f>
        <v>0</v>
      </c>
      <c r="BG10" s="15">
        <f>COUNTIF(AT$10:AT$100,"&gt;=" &amp; Summary!$B6)</f>
        <v>0</v>
      </c>
      <c r="BH10" s="15">
        <f>COUNTIF(AU$10:AU$100,"&gt;=" &amp; Summary!$B6)</f>
        <v>0</v>
      </c>
      <c r="BI10" s="15">
        <f>COUNTIF(AV$10:AV$100,"&gt;=" &amp; Summary!$B6)</f>
        <v>0</v>
      </c>
      <c r="BJ10" s="15">
        <f>COUNTIF(AW$10:AW$100,"&gt;=" &amp; Summary!$B6)</f>
        <v>0</v>
      </c>
      <c r="BK10" s="15">
        <f>COUNTIF(AX$10:AX$100,"&gt;=" &amp; Summary!$B6)</f>
        <v>0</v>
      </c>
    </row>
    <row r="11" spans="1:63">
      <c r="A11" t="str">
        <f>Grades!A11</f>
        <v>Last_2</v>
      </c>
      <c r="B11" t="str">
        <f>Grades!B11</f>
        <v>First_2</v>
      </c>
      <c r="C11" s="12">
        <f>Grades!C11</f>
        <v>48998132</v>
      </c>
      <c r="D11" s="13">
        <f t="shared" si="0"/>
        <v>0</v>
      </c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13"/>
      <c r="Z11" s="13">
        <f t="shared" si="1"/>
        <v>0</v>
      </c>
      <c r="AA11" s="13">
        <f t="shared" si="2"/>
        <v>0</v>
      </c>
      <c r="AB11" s="13">
        <f t="shared" si="3"/>
        <v>0</v>
      </c>
      <c r="AC11" s="13">
        <f t="shared" si="4"/>
        <v>0</v>
      </c>
      <c r="AD11" s="13">
        <f t="shared" si="5"/>
        <v>0</v>
      </c>
      <c r="AE11" s="13">
        <f t="shared" si="6"/>
        <v>0</v>
      </c>
      <c r="AF11" s="13">
        <f t="shared" si="7"/>
        <v>0</v>
      </c>
      <c r="AG11" s="13">
        <f t="shared" si="8"/>
        <v>0</v>
      </c>
      <c r="AH11" s="13">
        <f t="shared" si="9"/>
        <v>0</v>
      </c>
      <c r="AI11" s="13">
        <f t="shared" si="10"/>
        <v>0</v>
      </c>
      <c r="AJ11" s="13">
        <f t="shared" si="11"/>
        <v>0</v>
      </c>
      <c r="AK11" s="13">
        <f t="shared" si="12"/>
        <v>0</v>
      </c>
      <c r="AM11" s="14">
        <f t="shared" ref="AM11:AX46" si="14">IF(Z$9&gt;0,Z11/Z$9,0)</f>
        <v>0</v>
      </c>
      <c r="AN11" s="14">
        <f t="shared" si="13"/>
        <v>0</v>
      </c>
      <c r="AO11" s="14">
        <f t="shared" si="13"/>
        <v>0</v>
      </c>
      <c r="AP11" s="14">
        <f t="shared" si="13"/>
        <v>0</v>
      </c>
      <c r="AQ11" s="14">
        <f t="shared" si="13"/>
        <v>0</v>
      </c>
      <c r="AR11" s="14">
        <f t="shared" si="13"/>
        <v>0</v>
      </c>
      <c r="AS11" s="14">
        <f t="shared" si="13"/>
        <v>0</v>
      </c>
      <c r="AT11" s="14">
        <f t="shared" si="13"/>
        <v>0</v>
      </c>
      <c r="AU11" s="14">
        <f t="shared" si="13"/>
        <v>0</v>
      </c>
      <c r="AV11" s="14">
        <f t="shared" si="13"/>
        <v>0</v>
      </c>
      <c r="AW11" s="14">
        <f t="shared" si="13"/>
        <v>0</v>
      </c>
      <c r="AX11" s="14">
        <f t="shared" si="13"/>
        <v>0</v>
      </c>
      <c r="AY11" s="15" t="s">
        <v>84</v>
      </c>
      <c r="AZ11" s="18">
        <f>COUNTIF(AM$10:AM$100,"&gt;=" &amp; Summary!$B7)-AZ10</f>
        <v>0</v>
      </c>
      <c r="BA11" s="18">
        <f>COUNTIF(AN$10:AN$100,"&gt;=" &amp; Summary!$B7)-BA10</f>
        <v>0</v>
      </c>
      <c r="BB11" s="18">
        <f>COUNTIF(AO$10:AO$100,"&gt;=" &amp; Summary!$B7)-BB10</f>
        <v>0</v>
      </c>
      <c r="BC11" s="18">
        <f>COUNTIF(AP$10:AP$100,"&gt;=" &amp; Summary!$B7)-BC10</f>
        <v>0</v>
      </c>
      <c r="BD11" s="18">
        <f>COUNTIF(AQ$10:AQ$100,"&gt;=" &amp; Summary!$B7)-BD10</f>
        <v>0</v>
      </c>
      <c r="BE11" s="18">
        <f>COUNTIF(AR$10:AR$100,"&gt;=" &amp; Summary!$B7)-BE10</f>
        <v>0</v>
      </c>
      <c r="BF11" s="18">
        <f>COUNTIF(AS$10:AS$100,"&gt;=" &amp; Summary!$B7)-BF10</f>
        <v>0</v>
      </c>
      <c r="BG11" s="18">
        <f>COUNTIF(AT$10:AT$100,"&gt;=" &amp; Summary!$B7)-BG10</f>
        <v>0</v>
      </c>
      <c r="BH11" s="18">
        <f>COUNTIF(AU$10:AU$100,"&gt;=" &amp; Summary!$B7)-BH10</f>
        <v>0</v>
      </c>
      <c r="BI11" s="18">
        <f>COUNTIF(AV$10:AV$100,"&gt;=" &amp; Summary!$B7)-BI10</f>
        <v>0</v>
      </c>
      <c r="BJ11" s="18">
        <f>COUNTIF(AW$10:AW$100,"&gt;=" &amp; Summary!$B7)-BJ10</f>
        <v>0</v>
      </c>
      <c r="BK11" s="18">
        <f>COUNTIF(AX$10:AX$100,"&gt;=" &amp; Summary!$B7)-BK10</f>
        <v>0</v>
      </c>
    </row>
    <row r="12" spans="1:63">
      <c r="A12" t="str">
        <f>Grades!A12</f>
        <v>Last_3</v>
      </c>
      <c r="B12" t="str">
        <f>Grades!B12</f>
        <v>First_3</v>
      </c>
      <c r="C12" s="12">
        <f>Grades!C12</f>
        <v>77896340</v>
      </c>
      <c r="D12" s="13">
        <f t="shared" si="0"/>
        <v>0</v>
      </c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3"/>
      <c r="Z12" s="13">
        <f t="shared" si="1"/>
        <v>0</v>
      </c>
      <c r="AA12" s="13">
        <f t="shared" si="2"/>
        <v>0</v>
      </c>
      <c r="AB12" s="13">
        <f t="shared" si="3"/>
        <v>0</v>
      </c>
      <c r="AC12" s="13">
        <f t="shared" si="4"/>
        <v>0</v>
      </c>
      <c r="AD12" s="13">
        <f t="shared" si="5"/>
        <v>0</v>
      </c>
      <c r="AE12" s="13">
        <f t="shared" si="6"/>
        <v>0</v>
      </c>
      <c r="AF12" s="13">
        <f t="shared" si="7"/>
        <v>0</v>
      </c>
      <c r="AG12" s="13">
        <f t="shared" si="8"/>
        <v>0</v>
      </c>
      <c r="AH12" s="13">
        <f t="shared" si="9"/>
        <v>0</v>
      </c>
      <c r="AI12" s="13">
        <f t="shared" si="10"/>
        <v>0</v>
      </c>
      <c r="AJ12" s="13">
        <f t="shared" si="11"/>
        <v>0</v>
      </c>
      <c r="AK12" s="13">
        <f t="shared" si="12"/>
        <v>0</v>
      </c>
      <c r="AM12" s="14">
        <f t="shared" si="14"/>
        <v>0</v>
      </c>
      <c r="AN12" s="14">
        <f t="shared" si="13"/>
        <v>0</v>
      </c>
      <c r="AO12" s="14">
        <f t="shared" si="13"/>
        <v>0</v>
      </c>
      <c r="AP12" s="14">
        <f t="shared" si="13"/>
        <v>0</v>
      </c>
      <c r="AQ12" s="14">
        <f t="shared" si="13"/>
        <v>0</v>
      </c>
      <c r="AR12" s="14">
        <f t="shared" si="13"/>
        <v>0</v>
      </c>
      <c r="AS12" s="14">
        <f t="shared" si="13"/>
        <v>0</v>
      </c>
      <c r="AT12" s="14">
        <f t="shared" si="13"/>
        <v>0</v>
      </c>
      <c r="AU12" s="14">
        <f t="shared" si="13"/>
        <v>0</v>
      </c>
      <c r="AV12" s="14">
        <f t="shared" si="13"/>
        <v>0</v>
      </c>
      <c r="AW12" s="14">
        <f t="shared" si="13"/>
        <v>0</v>
      </c>
      <c r="AX12" s="14">
        <f t="shared" si="13"/>
        <v>0</v>
      </c>
      <c r="AY12" s="15" t="s">
        <v>85</v>
      </c>
      <c r="AZ12" s="18">
        <f>COUNTIF(AM$10:AM$100,"&gt;=" &amp; Summary!$B8)-SUM(AZ10:AZ11)</f>
        <v>0</v>
      </c>
      <c r="BA12" s="18">
        <f>COUNTIF(AN$10:AN$100,"&gt;=" &amp; Summary!$B8)-SUM(BA10:BA11)</f>
        <v>0</v>
      </c>
      <c r="BB12" s="18">
        <f>COUNTIF(AO$10:AO$100,"&gt;=" &amp; Summary!$B8)-SUM(BB10:BB11)</f>
        <v>0</v>
      </c>
      <c r="BC12" s="18">
        <f>COUNTIF(AP$10:AP$100,"&gt;=" &amp; Summary!$B8)-SUM(BC10:BC11)</f>
        <v>0</v>
      </c>
      <c r="BD12" s="18">
        <f>COUNTIF(AQ$10:AQ$100,"&gt;=" &amp; Summary!$B8)-SUM(BD10:BD11)</f>
        <v>0</v>
      </c>
      <c r="BE12" s="18">
        <f>COUNTIF(AR$10:AR$100,"&gt;=" &amp; Summary!$B8)-SUM(BE10:BE11)</f>
        <v>0</v>
      </c>
      <c r="BF12" s="18">
        <f>COUNTIF(AS$10:AS$100,"&gt;=" &amp; Summary!$B8)-SUM(BF10:BF11)</f>
        <v>0</v>
      </c>
      <c r="BG12" s="18">
        <f>COUNTIF(AT$10:AT$100,"&gt;=" &amp; Summary!$B8)-SUM(BG10:BG11)</f>
        <v>0</v>
      </c>
      <c r="BH12" s="18">
        <f>COUNTIF(AU$10:AU$100,"&gt;=" &amp; Summary!$B8)-SUM(BH10:BH11)</f>
        <v>0</v>
      </c>
      <c r="BI12" s="18">
        <f>COUNTIF(AV$10:AV$100,"&gt;=" &amp; Summary!$B8)-SUM(BI10:BI11)</f>
        <v>0</v>
      </c>
      <c r="BJ12" s="18">
        <f>COUNTIF(AW$10:AW$100,"&gt;=" &amp; Summary!$B8)-SUM(BJ10:BJ11)</f>
        <v>0</v>
      </c>
      <c r="BK12" s="18">
        <f>COUNTIF(AX$10:AX$100,"&gt;=" &amp; Summary!$B8)-SUM(BK10:BK11)</f>
        <v>0</v>
      </c>
    </row>
    <row r="13" spans="1:63">
      <c r="A13" t="str">
        <f>Grades!A13</f>
        <v>Last_4</v>
      </c>
      <c r="B13" t="str">
        <f>Grades!B13</f>
        <v>First_4</v>
      </c>
      <c r="C13" s="12">
        <f>Grades!C13</f>
        <v>10472860</v>
      </c>
      <c r="D13" s="13">
        <f t="shared" si="0"/>
        <v>0</v>
      </c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Z13" s="13">
        <f t="shared" si="1"/>
        <v>0</v>
      </c>
      <c r="AA13" s="13">
        <f t="shared" si="2"/>
        <v>0</v>
      </c>
      <c r="AB13" s="13">
        <f t="shared" si="3"/>
        <v>0</v>
      </c>
      <c r="AC13" s="13">
        <f t="shared" si="4"/>
        <v>0</v>
      </c>
      <c r="AD13" s="13">
        <f t="shared" si="5"/>
        <v>0</v>
      </c>
      <c r="AE13" s="13">
        <f t="shared" si="6"/>
        <v>0</v>
      </c>
      <c r="AF13" s="13">
        <f t="shared" si="7"/>
        <v>0</v>
      </c>
      <c r="AG13" s="13">
        <f t="shared" si="8"/>
        <v>0</v>
      </c>
      <c r="AH13" s="13">
        <f t="shared" si="9"/>
        <v>0</v>
      </c>
      <c r="AI13" s="13">
        <f t="shared" si="10"/>
        <v>0</v>
      </c>
      <c r="AJ13" s="13">
        <f t="shared" si="11"/>
        <v>0</v>
      </c>
      <c r="AK13" s="13">
        <f t="shared" si="12"/>
        <v>0</v>
      </c>
      <c r="AM13" s="14">
        <f t="shared" si="14"/>
        <v>0</v>
      </c>
      <c r="AN13" s="14">
        <f t="shared" si="13"/>
        <v>0</v>
      </c>
      <c r="AO13" s="14">
        <f t="shared" si="13"/>
        <v>0</v>
      </c>
      <c r="AP13" s="14">
        <f t="shared" si="13"/>
        <v>0</v>
      </c>
      <c r="AQ13" s="14">
        <f t="shared" si="13"/>
        <v>0</v>
      </c>
      <c r="AR13" s="14">
        <f t="shared" si="13"/>
        <v>0</v>
      </c>
      <c r="AS13" s="14">
        <f t="shared" si="13"/>
        <v>0</v>
      </c>
      <c r="AT13" s="14">
        <f t="shared" si="13"/>
        <v>0</v>
      </c>
      <c r="AU13" s="14">
        <f t="shared" si="13"/>
        <v>0</v>
      </c>
      <c r="AV13" s="14">
        <f t="shared" si="13"/>
        <v>0</v>
      </c>
      <c r="AW13" s="14">
        <f t="shared" si="13"/>
        <v>0</v>
      </c>
      <c r="AX13" s="14">
        <f t="shared" si="13"/>
        <v>0</v>
      </c>
      <c r="AY13" s="15" t="s">
        <v>86</v>
      </c>
      <c r="AZ13" s="18">
        <f>COUNTIF(AM$10:AM$100,"&gt;=" &amp; Summary!$B9)-SUM(AZ10:AZ12)</f>
        <v>0</v>
      </c>
      <c r="BA13" s="18">
        <f>COUNTIF(AN$10:AN$100,"&gt;=" &amp; Summary!$B9)-SUM(BA10:BA12)</f>
        <v>0</v>
      </c>
      <c r="BB13" s="18">
        <f>COUNTIF(AO$10:AO$100,"&gt;=" &amp; Summary!$B9)-SUM(BB10:BB12)</f>
        <v>0</v>
      </c>
      <c r="BC13" s="18">
        <f>COUNTIF(AP$10:AP$100,"&gt;=" &amp; Summary!$B9)-SUM(BC10:BC12)</f>
        <v>0</v>
      </c>
      <c r="BD13" s="18">
        <f>COUNTIF(AQ$10:AQ$100,"&gt;=" &amp; Summary!$B9)-SUM(BD10:BD12)</f>
        <v>0</v>
      </c>
      <c r="BE13" s="18">
        <f>COUNTIF(AR$10:AR$100,"&gt;=" &amp; Summary!$B9)-SUM(BE10:BE12)</f>
        <v>0</v>
      </c>
      <c r="BF13" s="18">
        <f>COUNTIF(AS$10:AS$100,"&gt;=" &amp; Summary!$B9)-SUM(BF10:BF12)</f>
        <v>0</v>
      </c>
      <c r="BG13" s="18">
        <f>COUNTIF(AT$10:AT$100,"&gt;=" &amp; Summary!$B9)-SUM(BG10:BG12)</f>
        <v>0</v>
      </c>
      <c r="BH13" s="18">
        <f>COUNTIF(AU$10:AU$100,"&gt;=" &amp; Summary!$B9)-SUM(BH10:BH12)</f>
        <v>0</v>
      </c>
      <c r="BI13" s="18">
        <f>COUNTIF(AV$10:AV$100,"&gt;=" &amp; Summary!$B9)-SUM(BI10:BI12)</f>
        <v>0</v>
      </c>
      <c r="BJ13" s="18">
        <f>COUNTIF(AW$10:AW$100,"&gt;=" &amp; Summary!$B9)-SUM(BJ10:BJ12)</f>
        <v>0</v>
      </c>
      <c r="BK13" s="18">
        <f>COUNTIF(AX$10:AX$100,"&gt;=" &amp; Summary!$B9)-SUM(BK10:BK12)</f>
        <v>0</v>
      </c>
    </row>
    <row r="14" spans="1:63">
      <c r="A14" t="str">
        <f>Grades!A14</f>
        <v>Last_5</v>
      </c>
      <c r="B14" t="str">
        <f>Grades!B14</f>
        <v>First_5</v>
      </c>
      <c r="C14" s="12">
        <f>Grades!C14</f>
        <v>97458323</v>
      </c>
      <c r="D14" s="13">
        <f t="shared" si="0"/>
        <v>0</v>
      </c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3"/>
      <c r="Z14" s="13">
        <f t="shared" si="1"/>
        <v>0</v>
      </c>
      <c r="AA14" s="13">
        <f t="shared" si="2"/>
        <v>0</v>
      </c>
      <c r="AB14" s="13">
        <f t="shared" si="3"/>
        <v>0</v>
      </c>
      <c r="AC14" s="13">
        <f t="shared" si="4"/>
        <v>0</v>
      </c>
      <c r="AD14" s="13">
        <f t="shared" si="5"/>
        <v>0</v>
      </c>
      <c r="AE14" s="13">
        <f t="shared" si="6"/>
        <v>0</v>
      </c>
      <c r="AF14" s="13">
        <f t="shared" si="7"/>
        <v>0</v>
      </c>
      <c r="AG14" s="13">
        <f t="shared" si="8"/>
        <v>0</v>
      </c>
      <c r="AH14" s="13">
        <f t="shared" si="9"/>
        <v>0</v>
      </c>
      <c r="AI14" s="13">
        <f t="shared" si="10"/>
        <v>0</v>
      </c>
      <c r="AJ14" s="13">
        <f t="shared" si="11"/>
        <v>0</v>
      </c>
      <c r="AK14" s="13">
        <f t="shared" si="12"/>
        <v>0</v>
      </c>
      <c r="AM14" s="14">
        <f t="shared" si="14"/>
        <v>0</v>
      </c>
      <c r="AN14" s="14">
        <f t="shared" si="13"/>
        <v>0</v>
      </c>
      <c r="AO14" s="14">
        <f t="shared" si="13"/>
        <v>0</v>
      </c>
      <c r="AP14" s="14">
        <f t="shared" si="13"/>
        <v>0</v>
      </c>
      <c r="AQ14" s="14">
        <f t="shared" si="13"/>
        <v>0</v>
      </c>
      <c r="AR14" s="14">
        <f t="shared" si="13"/>
        <v>0</v>
      </c>
      <c r="AS14" s="14">
        <f t="shared" si="13"/>
        <v>0</v>
      </c>
      <c r="AT14" s="14">
        <f t="shared" si="13"/>
        <v>0</v>
      </c>
      <c r="AU14" s="14">
        <f t="shared" si="13"/>
        <v>0</v>
      </c>
      <c r="AV14" s="14">
        <f t="shared" si="13"/>
        <v>0</v>
      </c>
      <c r="AW14" s="14">
        <f t="shared" si="13"/>
        <v>0</v>
      </c>
      <c r="AX14" s="14">
        <f t="shared" si="13"/>
        <v>0</v>
      </c>
      <c r="AY14" s="15" t="s">
        <v>87</v>
      </c>
      <c r="AZ14" s="18">
        <f>COUNTIF(AM$10:AM$100,"&gt;" &amp; Summary!$B10)-SUM(AZ10:AZ13)</f>
        <v>0</v>
      </c>
      <c r="BA14" s="18">
        <f>COUNTIF(AN$10:AN$100,"&gt;" &amp; Summary!$B10)-SUM(BA10:BA13)</f>
        <v>0</v>
      </c>
      <c r="BB14" s="18">
        <f>COUNTIF(AO$10:AO$100,"&gt;" &amp; Summary!$B10)-SUM(BB10:BB13)</f>
        <v>0</v>
      </c>
      <c r="BC14" s="18">
        <f>COUNTIF(AP$10:AP$100,"&gt;" &amp; Summary!$B10)-SUM(BC10:BC13)</f>
        <v>0</v>
      </c>
      <c r="BD14" s="18">
        <f>COUNTIF(AQ$10:AQ$100,"&gt;" &amp; Summary!$B10)-SUM(BD10:BD13)</f>
        <v>0</v>
      </c>
      <c r="BE14" s="18">
        <f>COUNTIF(AR$10:AR$100,"&gt;" &amp; Summary!$B10)-SUM(BE10:BE13)</f>
        <v>0</v>
      </c>
      <c r="BF14" s="18">
        <f>COUNTIF(AS$10:AS$100,"&gt;" &amp; Summary!$B10)-SUM(BF10:BF13)</f>
        <v>0</v>
      </c>
      <c r="BG14" s="18">
        <f>COUNTIF(AT$10:AT$100,"&gt;" &amp; Summary!$B10)-SUM(BG10:BG13)</f>
        <v>0</v>
      </c>
      <c r="BH14" s="18">
        <f>COUNTIF(AU$10:AU$100,"&gt;" &amp; Summary!$B10)-SUM(BH10:BH13)</f>
        <v>0</v>
      </c>
      <c r="BI14" s="18">
        <f>COUNTIF(AV$10:AV$100,"&gt;" &amp; Summary!$B10)-SUM(BI10:BI13)</f>
        <v>0</v>
      </c>
      <c r="BJ14" s="18">
        <f>COUNTIF(AW$10:AW$100,"&gt;" &amp; Summary!$B10)-SUM(BJ10:BJ13)</f>
        <v>0</v>
      </c>
      <c r="BK14" s="18">
        <f>COUNTIF(AX$10:AX$100,"&gt;" &amp; Summary!$B10)-SUM(BK10:BK13)</f>
        <v>0</v>
      </c>
    </row>
    <row r="15" spans="1:63">
      <c r="A15" t="str">
        <f>Grades!A15</f>
        <v>Last_6</v>
      </c>
      <c r="B15" t="str">
        <f>Grades!B15</f>
        <v>First_6</v>
      </c>
      <c r="C15" s="12">
        <f>Grades!C15</f>
        <v>54710323</v>
      </c>
      <c r="D15" s="13">
        <f t="shared" si="0"/>
        <v>0</v>
      </c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/>
      <c r="Z15" s="13">
        <f t="shared" si="1"/>
        <v>0</v>
      </c>
      <c r="AA15" s="13">
        <f t="shared" si="2"/>
        <v>0</v>
      </c>
      <c r="AB15" s="13">
        <f t="shared" si="3"/>
        <v>0</v>
      </c>
      <c r="AC15" s="13">
        <f t="shared" si="4"/>
        <v>0</v>
      </c>
      <c r="AD15" s="13">
        <f t="shared" si="5"/>
        <v>0</v>
      </c>
      <c r="AE15" s="13">
        <f t="shared" si="6"/>
        <v>0</v>
      </c>
      <c r="AF15" s="13">
        <f t="shared" si="7"/>
        <v>0</v>
      </c>
      <c r="AG15" s="13">
        <f t="shared" si="8"/>
        <v>0</v>
      </c>
      <c r="AH15" s="13">
        <f t="shared" si="9"/>
        <v>0</v>
      </c>
      <c r="AI15" s="13">
        <f t="shared" si="10"/>
        <v>0</v>
      </c>
      <c r="AJ15" s="13">
        <f t="shared" si="11"/>
        <v>0</v>
      </c>
      <c r="AK15" s="13">
        <f t="shared" si="12"/>
        <v>0</v>
      </c>
      <c r="AM15" s="14">
        <f t="shared" si="14"/>
        <v>0</v>
      </c>
      <c r="AN15" s="14">
        <f t="shared" si="13"/>
        <v>0</v>
      </c>
      <c r="AO15" s="14">
        <f t="shared" si="13"/>
        <v>0</v>
      </c>
      <c r="AP15" s="14">
        <f t="shared" si="13"/>
        <v>0</v>
      </c>
      <c r="AQ15" s="14">
        <f t="shared" si="13"/>
        <v>0</v>
      </c>
      <c r="AR15" s="14">
        <f t="shared" si="13"/>
        <v>0</v>
      </c>
      <c r="AS15" s="14">
        <f t="shared" si="13"/>
        <v>0</v>
      </c>
      <c r="AT15" s="14">
        <f t="shared" si="13"/>
        <v>0</v>
      </c>
      <c r="AU15" s="14">
        <f t="shared" si="13"/>
        <v>0</v>
      </c>
      <c r="AV15" s="14">
        <f t="shared" si="13"/>
        <v>0</v>
      </c>
      <c r="AW15" s="14">
        <f t="shared" si="13"/>
        <v>0</v>
      </c>
      <c r="AX15" s="14">
        <f t="shared" si="13"/>
        <v>0</v>
      </c>
      <c r="AY15" s="15"/>
      <c r="AZ15" s="15">
        <f t="shared" ref="AZ15:BK15" si="15">SUM(AZ10:AZ14)</f>
        <v>0</v>
      </c>
      <c r="BA15" s="15">
        <f t="shared" si="15"/>
        <v>0</v>
      </c>
      <c r="BB15" s="15">
        <f t="shared" si="15"/>
        <v>0</v>
      </c>
      <c r="BC15" s="15">
        <f t="shared" si="15"/>
        <v>0</v>
      </c>
      <c r="BD15" s="15">
        <f t="shared" si="15"/>
        <v>0</v>
      </c>
      <c r="BE15" s="15">
        <f t="shared" si="15"/>
        <v>0</v>
      </c>
      <c r="BF15" s="15">
        <f t="shared" si="15"/>
        <v>0</v>
      </c>
      <c r="BG15" s="15">
        <f t="shared" si="15"/>
        <v>0</v>
      </c>
      <c r="BH15" s="15">
        <f t="shared" si="15"/>
        <v>0</v>
      </c>
      <c r="BI15" s="15">
        <f t="shared" si="15"/>
        <v>0</v>
      </c>
      <c r="BJ15" s="15">
        <f t="shared" si="15"/>
        <v>0</v>
      </c>
      <c r="BK15" s="15">
        <f t="shared" si="15"/>
        <v>0</v>
      </c>
    </row>
    <row r="16" spans="1:63">
      <c r="A16" t="str">
        <f>Grades!A16</f>
        <v>Last_7</v>
      </c>
      <c r="B16" t="str">
        <f>Grades!B16</f>
        <v>First_7</v>
      </c>
      <c r="C16" s="12">
        <f>Grades!C16</f>
        <v>57528013</v>
      </c>
      <c r="D16" s="13">
        <f t="shared" si="0"/>
        <v>0</v>
      </c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Z16" s="13">
        <f t="shared" si="1"/>
        <v>0</v>
      </c>
      <c r="AA16" s="13">
        <f t="shared" si="2"/>
        <v>0</v>
      </c>
      <c r="AB16" s="13">
        <f t="shared" si="3"/>
        <v>0</v>
      </c>
      <c r="AC16" s="13">
        <f t="shared" si="4"/>
        <v>0</v>
      </c>
      <c r="AD16" s="13">
        <f t="shared" si="5"/>
        <v>0</v>
      </c>
      <c r="AE16" s="13">
        <f t="shared" si="6"/>
        <v>0</v>
      </c>
      <c r="AF16" s="13">
        <f t="shared" si="7"/>
        <v>0</v>
      </c>
      <c r="AG16" s="13">
        <f t="shared" si="8"/>
        <v>0</v>
      </c>
      <c r="AH16" s="13">
        <f t="shared" si="9"/>
        <v>0</v>
      </c>
      <c r="AI16" s="13">
        <f t="shared" si="10"/>
        <v>0</v>
      </c>
      <c r="AJ16" s="13">
        <f t="shared" si="11"/>
        <v>0</v>
      </c>
      <c r="AK16" s="13">
        <f t="shared" si="12"/>
        <v>0</v>
      </c>
      <c r="AM16" s="14">
        <f t="shared" si="14"/>
        <v>0</v>
      </c>
      <c r="AN16" s="14">
        <f t="shared" si="13"/>
        <v>0</v>
      </c>
      <c r="AO16" s="14">
        <f t="shared" si="13"/>
        <v>0</v>
      </c>
      <c r="AP16" s="14">
        <f t="shared" si="13"/>
        <v>0</v>
      </c>
      <c r="AQ16" s="14">
        <f t="shared" si="13"/>
        <v>0</v>
      </c>
      <c r="AR16" s="14">
        <f t="shared" si="13"/>
        <v>0</v>
      </c>
      <c r="AS16" s="14">
        <f t="shared" si="13"/>
        <v>0</v>
      </c>
      <c r="AT16" s="14">
        <f t="shared" si="13"/>
        <v>0</v>
      </c>
      <c r="AU16" s="14">
        <f t="shared" si="13"/>
        <v>0</v>
      </c>
      <c r="AV16" s="14">
        <f t="shared" si="13"/>
        <v>0</v>
      </c>
      <c r="AW16" s="14">
        <f t="shared" si="13"/>
        <v>0</v>
      </c>
      <c r="AX16" s="14">
        <f t="shared" si="13"/>
        <v>0</v>
      </c>
    </row>
    <row r="17" spans="1:50">
      <c r="A17" t="str">
        <f>Grades!A17</f>
        <v>Last_8</v>
      </c>
      <c r="B17" t="str">
        <f>Grades!B17</f>
        <v>First_8</v>
      </c>
      <c r="C17" s="12">
        <f>Grades!C17</f>
        <v>46076400</v>
      </c>
      <c r="D17" s="13">
        <f t="shared" si="0"/>
        <v>0</v>
      </c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  <c r="Z17" s="13">
        <f t="shared" si="1"/>
        <v>0</v>
      </c>
      <c r="AA17" s="13">
        <f t="shared" si="2"/>
        <v>0</v>
      </c>
      <c r="AB17" s="13">
        <f t="shared" si="3"/>
        <v>0</v>
      </c>
      <c r="AC17" s="13">
        <f t="shared" si="4"/>
        <v>0</v>
      </c>
      <c r="AD17" s="13">
        <f t="shared" si="5"/>
        <v>0</v>
      </c>
      <c r="AE17" s="13">
        <f t="shared" si="6"/>
        <v>0</v>
      </c>
      <c r="AF17" s="13">
        <f t="shared" si="7"/>
        <v>0</v>
      </c>
      <c r="AG17" s="13">
        <f t="shared" si="8"/>
        <v>0</v>
      </c>
      <c r="AH17" s="13">
        <f t="shared" si="9"/>
        <v>0</v>
      </c>
      <c r="AI17" s="13">
        <f t="shared" si="10"/>
        <v>0</v>
      </c>
      <c r="AJ17" s="13">
        <f t="shared" si="11"/>
        <v>0</v>
      </c>
      <c r="AK17" s="13">
        <f t="shared" si="12"/>
        <v>0</v>
      </c>
      <c r="AM17" s="14">
        <f t="shared" si="14"/>
        <v>0</v>
      </c>
      <c r="AN17" s="14">
        <f t="shared" si="13"/>
        <v>0</v>
      </c>
      <c r="AO17" s="14">
        <f t="shared" si="13"/>
        <v>0</v>
      </c>
      <c r="AP17" s="14">
        <f t="shared" si="13"/>
        <v>0</v>
      </c>
      <c r="AQ17" s="14">
        <f t="shared" si="13"/>
        <v>0</v>
      </c>
      <c r="AR17" s="14">
        <f t="shared" si="13"/>
        <v>0</v>
      </c>
      <c r="AS17" s="14">
        <f t="shared" si="13"/>
        <v>0</v>
      </c>
      <c r="AT17" s="14">
        <f t="shared" si="13"/>
        <v>0</v>
      </c>
      <c r="AU17" s="14">
        <f t="shared" si="13"/>
        <v>0</v>
      </c>
      <c r="AV17" s="14">
        <f t="shared" si="13"/>
        <v>0</v>
      </c>
      <c r="AW17" s="14">
        <f t="shared" si="13"/>
        <v>0</v>
      </c>
      <c r="AX17" s="14">
        <f t="shared" si="13"/>
        <v>0</v>
      </c>
    </row>
    <row r="18" spans="1:50">
      <c r="A18" t="str">
        <f>Grades!A18</f>
        <v>Last_9</v>
      </c>
      <c r="B18" t="str">
        <f>Grades!B18</f>
        <v>First_9</v>
      </c>
      <c r="C18" s="12">
        <f>Grades!C18</f>
        <v>68224023</v>
      </c>
      <c r="D18" s="13">
        <f t="shared" si="0"/>
        <v>0</v>
      </c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Z18" s="13">
        <f t="shared" si="1"/>
        <v>0</v>
      </c>
      <c r="AA18" s="13">
        <f t="shared" si="2"/>
        <v>0</v>
      </c>
      <c r="AB18" s="13">
        <f t="shared" si="3"/>
        <v>0</v>
      </c>
      <c r="AC18" s="13">
        <f t="shared" si="4"/>
        <v>0</v>
      </c>
      <c r="AD18" s="13">
        <f t="shared" si="5"/>
        <v>0</v>
      </c>
      <c r="AE18" s="13">
        <f t="shared" si="6"/>
        <v>0</v>
      </c>
      <c r="AF18" s="13">
        <f t="shared" si="7"/>
        <v>0</v>
      </c>
      <c r="AG18" s="13">
        <f t="shared" si="8"/>
        <v>0</v>
      </c>
      <c r="AH18" s="13">
        <f t="shared" si="9"/>
        <v>0</v>
      </c>
      <c r="AI18" s="13">
        <f t="shared" si="10"/>
        <v>0</v>
      </c>
      <c r="AJ18" s="13">
        <f t="shared" si="11"/>
        <v>0</v>
      </c>
      <c r="AK18" s="13">
        <f t="shared" si="12"/>
        <v>0</v>
      </c>
      <c r="AM18" s="14">
        <f t="shared" si="14"/>
        <v>0</v>
      </c>
      <c r="AN18" s="14">
        <f t="shared" si="13"/>
        <v>0</v>
      </c>
      <c r="AO18" s="14">
        <f t="shared" si="13"/>
        <v>0</v>
      </c>
      <c r="AP18" s="14">
        <f t="shared" si="13"/>
        <v>0</v>
      </c>
      <c r="AQ18" s="14">
        <f t="shared" si="13"/>
        <v>0</v>
      </c>
      <c r="AR18" s="14">
        <f t="shared" si="13"/>
        <v>0</v>
      </c>
      <c r="AS18" s="14">
        <f t="shared" si="13"/>
        <v>0</v>
      </c>
      <c r="AT18" s="14">
        <f t="shared" si="13"/>
        <v>0</v>
      </c>
      <c r="AU18" s="14">
        <f t="shared" si="13"/>
        <v>0</v>
      </c>
      <c r="AV18" s="14">
        <f t="shared" si="13"/>
        <v>0</v>
      </c>
      <c r="AW18" s="14">
        <f t="shared" si="13"/>
        <v>0</v>
      </c>
      <c r="AX18" s="14">
        <f t="shared" si="13"/>
        <v>0</v>
      </c>
    </row>
    <row r="19" spans="1:50">
      <c r="A19" t="str">
        <f>Grades!A19</f>
        <v>Last_10</v>
      </c>
      <c r="B19" t="str">
        <f>Grades!B19</f>
        <v>First_10</v>
      </c>
      <c r="C19" s="12">
        <f>Grades!C19</f>
        <v>44898071</v>
      </c>
      <c r="D19" s="13">
        <f t="shared" si="0"/>
        <v>0</v>
      </c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3"/>
      <c r="Z19" s="13">
        <f t="shared" si="1"/>
        <v>0</v>
      </c>
      <c r="AA19" s="13">
        <f t="shared" si="2"/>
        <v>0</v>
      </c>
      <c r="AB19" s="13">
        <f t="shared" si="3"/>
        <v>0</v>
      </c>
      <c r="AC19" s="13">
        <f t="shared" si="4"/>
        <v>0</v>
      </c>
      <c r="AD19" s="13">
        <f t="shared" si="5"/>
        <v>0</v>
      </c>
      <c r="AE19" s="13">
        <f t="shared" si="6"/>
        <v>0</v>
      </c>
      <c r="AF19" s="13">
        <f t="shared" si="7"/>
        <v>0</v>
      </c>
      <c r="AG19" s="13">
        <f t="shared" si="8"/>
        <v>0</v>
      </c>
      <c r="AH19" s="13">
        <f t="shared" si="9"/>
        <v>0</v>
      </c>
      <c r="AI19" s="13">
        <f t="shared" si="10"/>
        <v>0</v>
      </c>
      <c r="AJ19" s="13">
        <f t="shared" si="11"/>
        <v>0</v>
      </c>
      <c r="AK19" s="13">
        <f t="shared" si="12"/>
        <v>0</v>
      </c>
      <c r="AM19" s="14">
        <f t="shared" si="14"/>
        <v>0</v>
      </c>
      <c r="AN19" s="14">
        <f t="shared" si="13"/>
        <v>0</v>
      </c>
      <c r="AO19" s="14">
        <f t="shared" si="13"/>
        <v>0</v>
      </c>
      <c r="AP19" s="14">
        <f t="shared" si="13"/>
        <v>0</v>
      </c>
      <c r="AQ19" s="14">
        <f t="shared" si="13"/>
        <v>0</v>
      </c>
      <c r="AR19" s="14">
        <f t="shared" si="13"/>
        <v>0</v>
      </c>
      <c r="AS19" s="14">
        <f t="shared" si="13"/>
        <v>0</v>
      </c>
      <c r="AT19" s="14">
        <f t="shared" si="13"/>
        <v>0</v>
      </c>
      <c r="AU19" s="14">
        <f t="shared" si="13"/>
        <v>0</v>
      </c>
      <c r="AV19" s="14">
        <f t="shared" si="13"/>
        <v>0</v>
      </c>
      <c r="AW19" s="14">
        <f t="shared" si="13"/>
        <v>0</v>
      </c>
      <c r="AX19" s="14">
        <f t="shared" si="13"/>
        <v>0</v>
      </c>
    </row>
    <row r="20" spans="1:50">
      <c r="A20" t="str">
        <f>Grades!A20</f>
        <v>Last_11</v>
      </c>
      <c r="B20" t="str">
        <f>Grades!B20</f>
        <v>First_11</v>
      </c>
      <c r="C20" s="12">
        <f>Grades!C20</f>
        <v>61782509</v>
      </c>
      <c r="D20" s="13">
        <f t="shared" si="0"/>
        <v>0</v>
      </c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Z20" s="13">
        <f t="shared" si="1"/>
        <v>0</v>
      </c>
      <c r="AA20" s="13">
        <f t="shared" si="2"/>
        <v>0</v>
      </c>
      <c r="AB20" s="13">
        <f t="shared" si="3"/>
        <v>0</v>
      </c>
      <c r="AC20" s="13">
        <f t="shared" si="4"/>
        <v>0</v>
      </c>
      <c r="AD20" s="13">
        <f t="shared" si="5"/>
        <v>0</v>
      </c>
      <c r="AE20" s="13">
        <f t="shared" si="6"/>
        <v>0</v>
      </c>
      <c r="AF20" s="13">
        <f t="shared" si="7"/>
        <v>0</v>
      </c>
      <c r="AG20" s="13">
        <f t="shared" si="8"/>
        <v>0</v>
      </c>
      <c r="AH20" s="13">
        <f t="shared" si="9"/>
        <v>0</v>
      </c>
      <c r="AI20" s="13">
        <f t="shared" si="10"/>
        <v>0</v>
      </c>
      <c r="AJ20" s="13">
        <f t="shared" si="11"/>
        <v>0</v>
      </c>
      <c r="AK20" s="13">
        <f t="shared" si="12"/>
        <v>0</v>
      </c>
      <c r="AM20" s="14">
        <f t="shared" si="14"/>
        <v>0</v>
      </c>
      <c r="AN20" s="14">
        <f t="shared" si="13"/>
        <v>0</v>
      </c>
      <c r="AO20" s="14">
        <f t="shared" si="13"/>
        <v>0</v>
      </c>
      <c r="AP20" s="14">
        <f t="shared" si="13"/>
        <v>0</v>
      </c>
      <c r="AQ20" s="14">
        <f t="shared" si="13"/>
        <v>0</v>
      </c>
      <c r="AR20" s="14">
        <f t="shared" si="13"/>
        <v>0</v>
      </c>
      <c r="AS20" s="14">
        <f t="shared" si="13"/>
        <v>0</v>
      </c>
      <c r="AT20" s="14">
        <f t="shared" si="13"/>
        <v>0</v>
      </c>
      <c r="AU20" s="14">
        <f t="shared" si="13"/>
        <v>0</v>
      </c>
      <c r="AV20" s="14">
        <f t="shared" si="13"/>
        <v>0</v>
      </c>
      <c r="AW20" s="14">
        <f t="shared" si="13"/>
        <v>0</v>
      </c>
      <c r="AX20" s="14">
        <f t="shared" si="13"/>
        <v>0</v>
      </c>
    </row>
    <row r="21" spans="1:50">
      <c r="A21" t="str">
        <f>Grades!A21</f>
        <v>Last_12</v>
      </c>
      <c r="B21" t="str">
        <f>Grades!B21</f>
        <v>First_12</v>
      </c>
      <c r="C21" s="12">
        <f>Grades!C21</f>
        <v>4197486</v>
      </c>
      <c r="D21" s="13">
        <f t="shared" si="0"/>
        <v>0</v>
      </c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Z21" s="13">
        <f t="shared" si="1"/>
        <v>0</v>
      </c>
      <c r="AA21" s="13">
        <f t="shared" si="2"/>
        <v>0</v>
      </c>
      <c r="AB21" s="13">
        <f t="shared" si="3"/>
        <v>0</v>
      </c>
      <c r="AC21" s="13">
        <f t="shared" si="4"/>
        <v>0</v>
      </c>
      <c r="AD21" s="13">
        <f t="shared" si="5"/>
        <v>0</v>
      </c>
      <c r="AE21" s="13">
        <f t="shared" si="6"/>
        <v>0</v>
      </c>
      <c r="AF21" s="13">
        <f t="shared" si="7"/>
        <v>0</v>
      </c>
      <c r="AG21" s="13">
        <f t="shared" si="8"/>
        <v>0</v>
      </c>
      <c r="AH21" s="13">
        <f t="shared" si="9"/>
        <v>0</v>
      </c>
      <c r="AI21" s="13">
        <f t="shared" si="10"/>
        <v>0</v>
      </c>
      <c r="AJ21" s="13">
        <f t="shared" si="11"/>
        <v>0</v>
      </c>
      <c r="AK21" s="13">
        <f t="shared" si="12"/>
        <v>0</v>
      </c>
      <c r="AM21" s="14">
        <f t="shared" si="14"/>
        <v>0</v>
      </c>
      <c r="AN21" s="14">
        <f t="shared" si="13"/>
        <v>0</v>
      </c>
      <c r="AO21" s="14">
        <f t="shared" si="13"/>
        <v>0</v>
      </c>
      <c r="AP21" s="14">
        <f t="shared" si="13"/>
        <v>0</v>
      </c>
      <c r="AQ21" s="14">
        <f t="shared" si="13"/>
        <v>0</v>
      </c>
      <c r="AR21" s="14">
        <f t="shared" si="13"/>
        <v>0</v>
      </c>
      <c r="AS21" s="14">
        <f t="shared" si="13"/>
        <v>0</v>
      </c>
      <c r="AT21" s="14">
        <f t="shared" si="13"/>
        <v>0</v>
      </c>
      <c r="AU21" s="14">
        <f t="shared" si="13"/>
        <v>0</v>
      </c>
      <c r="AV21" s="14">
        <f t="shared" si="13"/>
        <v>0</v>
      </c>
      <c r="AW21" s="14">
        <f t="shared" si="13"/>
        <v>0</v>
      </c>
      <c r="AX21" s="14">
        <f t="shared" si="13"/>
        <v>0</v>
      </c>
    </row>
    <row r="22" spans="1:50">
      <c r="A22" t="str">
        <f>Grades!A22</f>
        <v>Last_13</v>
      </c>
      <c r="B22" t="str">
        <f>Grades!B22</f>
        <v>First_13</v>
      </c>
      <c r="C22" s="12">
        <f>Grades!C22</f>
        <v>51295906</v>
      </c>
      <c r="D22" s="13">
        <f t="shared" si="0"/>
        <v>0</v>
      </c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3"/>
      <c r="Z22" s="13">
        <f t="shared" si="1"/>
        <v>0</v>
      </c>
      <c r="AA22" s="13">
        <f t="shared" si="2"/>
        <v>0</v>
      </c>
      <c r="AB22" s="13">
        <f t="shared" si="3"/>
        <v>0</v>
      </c>
      <c r="AC22" s="13">
        <f t="shared" si="4"/>
        <v>0</v>
      </c>
      <c r="AD22" s="13">
        <f t="shared" si="5"/>
        <v>0</v>
      </c>
      <c r="AE22" s="13">
        <f t="shared" si="6"/>
        <v>0</v>
      </c>
      <c r="AF22" s="13">
        <f t="shared" si="7"/>
        <v>0</v>
      </c>
      <c r="AG22" s="13">
        <f t="shared" si="8"/>
        <v>0</v>
      </c>
      <c r="AH22" s="13">
        <f t="shared" si="9"/>
        <v>0</v>
      </c>
      <c r="AI22" s="13">
        <f t="shared" si="10"/>
        <v>0</v>
      </c>
      <c r="AJ22" s="13">
        <f t="shared" si="11"/>
        <v>0</v>
      </c>
      <c r="AK22" s="13">
        <f t="shared" si="12"/>
        <v>0</v>
      </c>
      <c r="AM22" s="14">
        <f t="shared" si="14"/>
        <v>0</v>
      </c>
      <c r="AN22" s="14">
        <f t="shared" si="13"/>
        <v>0</v>
      </c>
      <c r="AO22" s="14">
        <f t="shared" si="13"/>
        <v>0</v>
      </c>
      <c r="AP22" s="14">
        <f t="shared" si="13"/>
        <v>0</v>
      </c>
      <c r="AQ22" s="14">
        <f t="shared" si="13"/>
        <v>0</v>
      </c>
      <c r="AR22" s="14">
        <f t="shared" si="13"/>
        <v>0</v>
      </c>
      <c r="AS22" s="14">
        <f t="shared" si="13"/>
        <v>0</v>
      </c>
      <c r="AT22" s="14">
        <f t="shared" si="13"/>
        <v>0</v>
      </c>
      <c r="AU22" s="14">
        <f t="shared" si="13"/>
        <v>0</v>
      </c>
      <c r="AV22" s="14">
        <f t="shared" si="13"/>
        <v>0</v>
      </c>
      <c r="AW22" s="14">
        <f t="shared" si="13"/>
        <v>0</v>
      </c>
      <c r="AX22" s="14">
        <f t="shared" si="13"/>
        <v>0</v>
      </c>
    </row>
    <row r="23" spans="1:50">
      <c r="A23" t="str">
        <f>Grades!A23</f>
        <v>Last_14</v>
      </c>
      <c r="B23" t="str">
        <f>Grades!B23</f>
        <v>First_14</v>
      </c>
      <c r="C23" s="12">
        <f>Grades!C23</f>
        <v>19839573</v>
      </c>
      <c r="D23" s="13">
        <f t="shared" si="0"/>
        <v>0</v>
      </c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Z23" s="13">
        <f t="shared" si="1"/>
        <v>0</v>
      </c>
      <c r="AA23" s="13">
        <f t="shared" si="2"/>
        <v>0</v>
      </c>
      <c r="AB23" s="13">
        <f t="shared" si="3"/>
        <v>0</v>
      </c>
      <c r="AC23" s="13">
        <f t="shared" si="4"/>
        <v>0</v>
      </c>
      <c r="AD23" s="13">
        <f t="shared" si="5"/>
        <v>0</v>
      </c>
      <c r="AE23" s="13">
        <f t="shared" si="6"/>
        <v>0</v>
      </c>
      <c r="AF23" s="13">
        <f t="shared" si="7"/>
        <v>0</v>
      </c>
      <c r="AG23" s="13">
        <f t="shared" si="8"/>
        <v>0</v>
      </c>
      <c r="AH23" s="13">
        <f t="shared" si="9"/>
        <v>0</v>
      </c>
      <c r="AI23" s="13">
        <f t="shared" si="10"/>
        <v>0</v>
      </c>
      <c r="AJ23" s="13">
        <f t="shared" si="11"/>
        <v>0</v>
      </c>
      <c r="AK23" s="13">
        <f t="shared" si="12"/>
        <v>0</v>
      </c>
      <c r="AM23" s="14">
        <f t="shared" si="14"/>
        <v>0</v>
      </c>
      <c r="AN23" s="14">
        <f t="shared" si="13"/>
        <v>0</v>
      </c>
      <c r="AO23" s="14">
        <f t="shared" si="13"/>
        <v>0</v>
      </c>
      <c r="AP23" s="14">
        <f t="shared" si="13"/>
        <v>0</v>
      </c>
      <c r="AQ23" s="14">
        <f t="shared" si="13"/>
        <v>0</v>
      </c>
      <c r="AR23" s="14">
        <f t="shared" si="13"/>
        <v>0</v>
      </c>
      <c r="AS23" s="14">
        <f t="shared" si="13"/>
        <v>0</v>
      </c>
      <c r="AT23" s="14">
        <f t="shared" si="13"/>
        <v>0</v>
      </c>
      <c r="AU23" s="14">
        <f t="shared" si="13"/>
        <v>0</v>
      </c>
      <c r="AV23" s="14">
        <f t="shared" si="13"/>
        <v>0</v>
      </c>
      <c r="AW23" s="14">
        <f t="shared" si="13"/>
        <v>0</v>
      </c>
      <c r="AX23" s="14">
        <f t="shared" si="13"/>
        <v>0</v>
      </c>
    </row>
    <row r="24" spans="1:50">
      <c r="A24" t="str">
        <f>Grades!A24</f>
        <v>Last_15</v>
      </c>
      <c r="B24" t="str">
        <f>Grades!B24</f>
        <v>First_15</v>
      </c>
      <c r="C24" s="12">
        <f>Grades!C24</f>
        <v>54905777</v>
      </c>
      <c r="D24" s="13">
        <f t="shared" si="0"/>
        <v>0</v>
      </c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13"/>
      <c r="Z24" s="13">
        <f t="shared" si="1"/>
        <v>0</v>
      </c>
      <c r="AA24" s="13">
        <f t="shared" si="2"/>
        <v>0</v>
      </c>
      <c r="AB24" s="13">
        <f t="shared" si="3"/>
        <v>0</v>
      </c>
      <c r="AC24" s="13">
        <f t="shared" si="4"/>
        <v>0</v>
      </c>
      <c r="AD24" s="13">
        <f t="shared" si="5"/>
        <v>0</v>
      </c>
      <c r="AE24" s="13">
        <f t="shared" si="6"/>
        <v>0</v>
      </c>
      <c r="AF24" s="13">
        <f t="shared" si="7"/>
        <v>0</v>
      </c>
      <c r="AG24" s="13">
        <f t="shared" si="8"/>
        <v>0</v>
      </c>
      <c r="AH24" s="13">
        <f t="shared" si="9"/>
        <v>0</v>
      </c>
      <c r="AI24" s="13">
        <f t="shared" si="10"/>
        <v>0</v>
      </c>
      <c r="AJ24" s="13">
        <f t="shared" si="11"/>
        <v>0</v>
      </c>
      <c r="AK24" s="13">
        <f t="shared" si="12"/>
        <v>0</v>
      </c>
      <c r="AM24" s="14">
        <f t="shared" si="14"/>
        <v>0</v>
      </c>
      <c r="AN24" s="14">
        <f t="shared" si="13"/>
        <v>0</v>
      </c>
      <c r="AO24" s="14">
        <f t="shared" si="13"/>
        <v>0</v>
      </c>
      <c r="AP24" s="14">
        <f t="shared" si="13"/>
        <v>0</v>
      </c>
      <c r="AQ24" s="14">
        <f t="shared" si="13"/>
        <v>0</v>
      </c>
      <c r="AR24" s="14">
        <f t="shared" si="13"/>
        <v>0</v>
      </c>
      <c r="AS24" s="14">
        <f t="shared" si="13"/>
        <v>0</v>
      </c>
      <c r="AT24" s="14">
        <f t="shared" si="13"/>
        <v>0</v>
      </c>
      <c r="AU24" s="14">
        <f t="shared" si="13"/>
        <v>0</v>
      </c>
      <c r="AV24" s="14">
        <f t="shared" si="13"/>
        <v>0</v>
      </c>
      <c r="AW24" s="14">
        <f t="shared" si="13"/>
        <v>0</v>
      </c>
      <c r="AX24" s="14">
        <f t="shared" si="13"/>
        <v>0</v>
      </c>
    </row>
    <row r="25" spans="1:50">
      <c r="A25" t="str">
        <f>Grades!A25</f>
        <v>Last_16</v>
      </c>
      <c r="B25" t="str">
        <f>Grades!B25</f>
        <v>First_16</v>
      </c>
      <c r="C25" s="12">
        <f>Grades!C25</f>
        <v>82030077</v>
      </c>
      <c r="D25" s="13">
        <f t="shared" si="0"/>
        <v>0</v>
      </c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Z25" s="13">
        <f t="shared" si="1"/>
        <v>0</v>
      </c>
      <c r="AA25" s="13">
        <f t="shared" si="2"/>
        <v>0</v>
      </c>
      <c r="AB25" s="13">
        <f t="shared" si="3"/>
        <v>0</v>
      </c>
      <c r="AC25" s="13">
        <f t="shared" si="4"/>
        <v>0</v>
      </c>
      <c r="AD25" s="13">
        <f t="shared" si="5"/>
        <v>0</v>
      </c>
      <c r="AE25" s="13">
        <f t="shared" si="6"/>
        <v>0</v>
      </c>
      <c r="AF25" s="13">
        <f t="shared" si="7"/>
        <v>0</v>
      </c>
      <c r="AG25" s="13">
        <f t="shared" si="8"/>
        <v>0</v>
      </c>
      <c r="AH25" s="13">
        <f t="shared" si="9"/>
        <v>0</v>
      </c>
      <c r="AI25" s="13">
        <f t="shared" si="10"/>
        <v>0</v>
      </c>
      <c r="AJ25" s="13">
        <f t="shared" si="11"/>
        <v>0</v>
      </c>
      <c r="AK25" s="13">
        <f t="shared" si="12"/>
        <v>0</v>
      </c>
      <c r="AM25" s="14">
        <f t="shared" si="14"/>
        <v>0</v>
      </c>
      <c r="AN25" s="14">
        <f t="shared" si="13"/>
        <v>0</v>
      </c>
      <c r="AO25" s="14">
        <f t="shared" si="13"/>
        <v>0</v>
      </c>
      <c r="AP25" s="14">
        <f t="shared" si="13"/>
        <v>0</v>
      </c>
      <c r="AQ25" s="14">
        <f t="shared" si="13"/>
        <v>0</v>
      </c>
      <c r="AR25" s="14">
        <f t="shared" si="13"/>
        <v>0</v>
      </c>
      <c r="AS25" s="14">
        <f t="shared" si="13"/>
        <v>0</v>
      </c>
      <c r="AT25" s="14">
        <f t="shared" si="13"/>
        <v>0</v>
      </c>
      <c r="AU25" s="14">
        <f t="shared" si="13"/>
        <v>0</v>
      </c>
      <c r="AV25" s="14">
        <f t="shared" si="13"/>
        <v>0</v>
      </c>
      <c r="AW25" s="14">
        <f t="shared" si="13"/>
        <v>0</v>
      </c>
      <c r="AX25" s="14">
        <f t="shared" si="13"/>
        <v>0</v>
      </c>
    </row>
    <row r="26" spans="1:50">
      <c r="A26" t="str">
        <f>Grades!A26</f>
        <v>Last_17</v>
      </c>
      <c r="B26" t="str">
        <f>Grades!B26</f>
        <v>First_17</v>
      </c>
      <c r="C26" s="12">
        <f>Grades!C26</f>
        <v>59206627</v>
      </c>
      <c r="D26" s="13">
        <f t="shared" si="0"/>
        <v>0</v>
      </c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  <c r="X26" s="13"/>
      <c r="Z26" s="13">
        <f t="shared" si="1"/>
        <v>0</v>
      </c>
      <c r="AA26" s="13">
        <f t="shared" si="2"/>
        <v>0</v>
      </c>
      <c r="AB26" s="13">
        <f t="shared" si="3"/>
        <v>0</v>
      </c>
      <c r="AC26" s="13">
        <f t="shared" si="4"/>
        <v>0</v>
      </c>
      <c r="AD26" s="13">
        <f t="shared" si="5"/>
        <v>0</v>
      </c>
      <c r="AE26" s="13">
        <f t="shared" si="6"/>
        <v>0</v>
      </c>
      <c r="AF26" s="13">
        <f t="shared" si="7"/>
        <v>0</v>
      </c>
      <c r="AG26" s="13">
        <f t="shared" si="8"/>
        <v>0</v>
      </c>
      <c r="AH26" s="13">
        <f t="shared" si="9"/>
        <v>0</v>
      </c>
      <c r="AI26" s="13">
        <f t="shared" si="10"/>
        <v>0</v>
      </c>
      <c r="AJ26" s="13">
        <f t="shared" si="11"/>
        <v>0</v>
      </c>
      <c r="AK26" s="13">
        <f t="shared" si="12"/>
        <v>0</v>
      </c>
      <c r="AM26" s="14">
        <f t="shared" si="14"/>
        <v>0</v>
      </c>
      <c r="AN26" s="14">
        <f t="shared" si="14"/>
        <v>0</v>
      </c>
      <c r="AO26" s="14">
        <f t="shared" si="14"/>
        <v>0</v>
      </c>
      <c r="AP26" s="14">
        <f t="shared" si="14"/>
        <v>0</v>
      </c>
      <c r="AQ26" s="14">
        <f t="shared" si="14"/>
        <v>0</v>
      </c>
      <c r="AR26" s="14">
        <f t="shared" si="14"/>
        <v>0</v>
      </c>
      <c r="AS26" s="14">
        <f t="shared" si="14"/>
        <v>0</v>
      </c>
      <c r="AT26" s="14">
        <f t="shared" si="14"/>
        <v>0</v>
      </c>
      <c r="AU26" s="14">
        <f t="shared" si="14"/>
        <v>0</v>
      </c>
      <c r="AV26" s="14">
        <f t="shared" si="14"/>
        <v>0</v>
      </c>
      <c r="AW26" s="14">
        <f t="shared" si="14"/>
        <v>0</v>
      </c>
      <c r="AX26" s="14">
        <f t="shared" si="14"/>
        <v>0</v>
      </c>
    </row>
    <row r="27" spans="1:50">
      <c r="A27" t="str">
        <f>Grades!A27</f>
        <v>Last_18</v>
      </c>
      <c r="B27" t="str">
        <f>Grades!B27</f>
        <v>First_18</v>
      </c>
      <c r="C27" s="12">
        <f>Grades!C27</f>
        <v>26646083</v>
      </c>
      <c r="D27" s="13">
        <f t="shared" si="0"/>
        <v>0</v>
      </c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Z27" s="13">
        <f t="shared" si="1"/>
        <v>0</v>
      </c>
      <c r="AA27" s="13">
        <f t="shared" si="2"/>
        <v>0</v>
      </c>
      <c r="AB27" s="13">
        <f t="shared" si="3"/>
        <v>0</v>
      </c>
      <c r="AC27" s="13">
        <f t="shared" si="4"/>
        <v>0</v>
      </c>
      <c r="AD27" s="13">
        <f t="shared" si="5"/>
        <v>0</v>
      </c>
      <c r="AE27" s="13">
        <f t="shared" si="6"/>
        <v>0</v>
      </c>
      <c r="AF27" s="13">
        <f t="shared" si="7"/>
        <v>0</v>
      </c>
      <c r="AG27" s="13">
        <f t="shared" si="8"/>
        <v>0</v>
      </c>
      <c r="AH27" s="13">
        <f t="shared" si="9"/>
        <v>0</v>
      </c>
      <c r="AI27" s="13">
        <f t="shared" si="10"/>
        <v>0</v>
      </c>
      <c r="AJ27" s="13">
        <f t="shared" si="11"/>
        <v>0</v>
      </c>
      <c r="AK27" s="13">
        <f t="shared" si="12"/>
        <v>0</v>
      </c>
      <c r="AM27" s="14">
        <f t="shared" si="14"/>
        <v>0</v>
      </c>
      <c r="AN27" s="14">
        <f t="shared" si="14"/>
        <v>0</v>
      </c>
      <c r="AO27" s="14">
        <f t="shared" si="14"/>
        <v>0</v>
      </c>
      <c r="AP27" s="14">
        <f t="shared" si="14"/>
        <v>0</v>
      </c>
      <c r="AQ27" s="14">
        <f t="shared" si="14"/>
        <v>0</v>
      </c>
      <c r="AR27" s="14">
        <f t="shared" si="14"/>
        <v>0</v>
      </c>
      <c r="AS27" s="14">
        <f t="shared" si="14"/>
        <v>0</v>
      </c>
      <c r="AT27" s="14">
        <f t="shared" si="14"/>
        <v>0</v>
      </c>
      <c r="AU27" s="14">
        <f t="shared" si="14"/>
        <v>0</v>
      </c>
      <c r="AV27" s="14">
        <f t="shared" si="14"/>
        <v>0</v>
      </c>
      <c r="AW27" s="14">
        <f t="shared" si="14"/>
        <v>0</v>
      </c>
      <c r="AX27" s="14">
        <f t="shared" si="14"/>
        <v>0</v>
      </c>
    </row>
    <row r="28" spans="1:50">
      <c r="A28" t="str">
        <f>Grades!A28</f>
        <v>Last_19</v>
      </c>
      <c r="B28" t="str">
        <f>Grades!B28</f>
        <v>First_19</v>
      </c>
      <c r="C28" s="12">
        <f>Grades!C28</f>
        <v>10749714</v>
      </c>
      <c r="D28" s="13">
        <f t="shared" si="0"/>
        <v>0</v>
      </c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Z28" s="13">
        <f t="shared" si="1"/>
        <v>0</v>
      </c>
      <c r="AA28" s="13">
        <f t="shared" si="2"/>
        <v>0</v>
      </c>
      <c r="AB28" s="13">
        <f t="shared" si="3"/>
        <v>0</v>
      </c>
      <c r="AC28" s="13">
        <f t="shared" si="4"/>
        <v>0</v>
      </c>
      <c r="AD28" s="13">
        <f t="shared" si="5"/>
        <v>0</v>
      </c>
      <c r="AE28" s="13">
        <f t="shared" si="6"/>
        <v>0</v>
      </c>
      <c r="AF28" s="13">
        <f t="shared" si="7"/>
        <v>0</v>
      </c>
      <c r="AG28" s="13">
        <f t="shared" si="8"/>
        <v>0</v>
      </c>
      <c r="AH28" s="13">
        <f t="shared" si="9"/>
        <v>0</v>
      </c>
      <c r="AI28" s="13">
        <f t="shared" si="10"/>
        <v>0</v>
      </c>
      <c r="AJ28" s="13">
        <f t="shared" si="11"/>
        <v>0</v>
      </c>
      <c r="AK28" s="13">
        <f t="shared" si="12"/>
        <v>0</v>
      </c>
      <c r="AM28" s="14">
        <f t="shared" si="14"/>
        <v>0</v>
      </c>
      <c r="AN28" s="14">
        <f t="shared" si="14"/>
        <v>0</v>
      </c>
      <c r="AO28" s="14">
        <f t="shared" si="14"/>
        <v>0</v>
      </c>
      <c r="AP28" s="14">
        <f t="shared" si="14"/>
        <v>0</v>
      </c>
      <c r="AQ28" s="14">
        <f t="shared" si="14"/>
        <v>0</v>
      </c>
      <c r="AR28" s="14">
        <f t="shared" si="14"/>
        <v>0</v>
      </c>
      <c r="AS28" s="14">
        <f t="shared" si="14"/>
        <v>0</v>
      </c>
      <c r="AT28" s="14">
        <f t="shared" si="14"/>
        <v>0</v>
      </c>
      <c r="AU28" s="14">
        <f t="shared" si="14"/>
        <v>0</v>
      </c>
      <c r="AV28" s="14">
        <f t="shared" si="14"/>
        <v>0</v>
      </c>
      <c r="AW28" s="14">
        <f t="shared" si="14"/>
        <v>0</v>
      </c>
      <c r="AX28" s="14">
        <f t="shared" si="14"/>
        <v>0</v>
      </c>
    </row>
    <row r="29" spans="1:50">
      <c r="A29" t="str">
        <f>Grades!A29</f>
        <v>Last_20</v>
      </c>
      <c r="B29" t="str">
        <f>Grades!B29</f>
        <v>First_20</v>
      </c>
      <c r="C29" s="12">
        <f>Grades!C29</f>
        <v>23994145</v>
      </c>
      <c r="D29" s="13">
        <f t="shared" si="0"/>
        <v>0</v>
      </c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3"/>
      <c r="X29" s="13"/>
      <c r="Z29" s="13">
        <f t="shared" si="1"/>
        <v>0</v>
      </c>
      <c r="AA29" s="13">
        <f t="shared" si="2"/>
        <v>0</v>
      </c>
      <c r="AB29" s="13">
        <f t="shared" si="3"/>
        <v>0</v>
      </c>
      <c r="AC29" s="13">
        <f t="shared" si="4"/>
        <v>0</v>
      </c>
      <c r="AD29" s="13">
        <f t="shared" si="5"/>
        <v>0</v>
      </c>
      <c r="AE29" s="13">
        <f t="shared" si="6"/>
        <v>0</v>
      </c>
      <c r="AF29" s="13">
        <f t="shared" si="7"/>
        <v>0</v>
      </c>
      <c r="AG29" s="13">
        <f t="shared" si="8"/>
        <v>0</v>
      </c>
      <c r="AH29" s="13">
        <f t="shared" si="9"/>
        <v>0</v>
      </c>
      <c r="AI29" s="13">
        <f t="shared" si="10"/>
        <v>0</v>
      </c>
      <c r="AJ29" s="13">
        <f t="shared" si="11"/>
        <v>0</v>
      </c>
      <c r="AK29" s="13">
        <f t="shared" si="12"/>
        <v>0</v>
      </c>
      <c r="AM29" s="14">
        <f t="shared" si="14"/>
        <v>0</v>
      </c>
      <c r="AN29" s="14">
        <f t="shared" si="14"/>
        <v>0</v>
      </c>
      <c r="AO29" s="14">
        <f t="shared" si="14"/>
        <v>0</v>
      </c>
      <c r="AP29" s="14">
        <f t="shared" si="14"/>
        <v>0</v>
      </c>
      <c r="AQ29" s="14">
        <f t="shared" si="14"/>
        <v>0</v>
      </c>
      <c r="AR29" s="14">
        <f t="shared" si="14"/>
        <v>0</v>
      </c>
      <c r="AS29" s="14">
        <f t="shared" si="14"/>
        <v>0</v>
      </c>
      <c r="AT29" s="14">
        <f t="shared" si="14"/>
        <v>0</v>
      </c>
      <c r="AU29" s="14">
        <f t="shared" si="14"/>
        <v>0</v>
      </c>
      <c r="AV29" s="14">
        <f t="shared" si="14"/>
        <v>0</v>
      </c>
      <c r="AW29" s="14">
        <f t="shared" si="14"/>
        <v>0</v>
      </c>
      <c r="AX29" s="14">
        <f t="shared" si="14"/>
        <v>0</v>
      </c>
    </row>
    <row r="30" spans="1:50">
      <c r="A30" t="str">
        <f>Grades!A30</f>
        <v>Last_21</v>
      </c>
      <c r="B30" t="str">
        <f>Grades!B30</f>
        <v>First_21</v>
      </c>
      <c r="C30" s="12">
        <f>Grades!C30</f>
        <v>61955455</v>
      </c>
      <c r="D30" s="13">
        <f t="shared" si="0"/>
        <v>0</v>
      </c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Z30" s="13">
        <f t="shared" si="1"/>
        <v>0</v>
      </c>
      <c r="AA30" s="13">
        <f t="shared" si="2"/>
        <v>0</v>
      </c>
      <c r="AB30" s="13">
        <f t="shared" si="3"/>
        <v>0</v>
      </c>
      <c r="AC30" s="13">
        <f t="shared" si="4"/>
        <v>0</v>
      </c>
      <c r="AD30" s="13">
        <f t="shared" si="5"/>
        <v>0</v>
      </c>
      <c r="AE30" s="13">
        <f t="shared" si="6"/>
        <v>0</v>
      </c>
      <c r="AF30" s="13">
        <f t="shared" si="7"/>
        <v>0</v>
      </c>
      <c r="AG30" s="13">
        <f t="shared" si="8"/>
        <v>0</v>
      </c>
      <c r="AH30" s="13">
        <f t="shared" si="9"/>
        <v>0</v>
      </c>
      <c r="AI30" s="13">
        <f t="shared" si="10"/>
        <v>0</v>
      </c>
      <c r="AJ30" s="13">
        <f t="shared" si="11"/>
        <v>0</v>
      </c>
      <c r="AK30" s="13">
        <f t="shared" si="12"/>
        <v>0</v>
      </c>
      <c r="AM30" s="14">
        <f t="shared" si="14"/>
        <v>0</v>
      </c>
      <c r="AN30" s="14">
        <f t="shared" si="14"/>
        <v>0</v>
      </c>
      <c r="AO30" s="14">
        <f t="shared" si="14"/>
        <v>0</v>
      </c>
      <c r="AP30" s="14">
        <f t="shared" si="14"/>
        <v>0</v>
      </c>
      <c r="AQ30" s="14">
        <f t="shared" si="14"/>
        <v>0</v>
      </c>
      <c r="AR30" s="14">
        <f t="shared" si="14"/>
        <v>0</v>
      </c>
      <c r="AS30" s="14">
        <f t="shared" si="14"/>
        <v>0</v>
      </c>
      <c r="AT30" s="14">
        <f t="shared" si="14"/>
        <v>0</v>
      </c>
      <c r="AU30" s="14">
        <f t="shared" si="14"/>
        <v>0</v>
      </c>
      <c r="AV30" s="14">
        <f t="shared" si="14"/>
        <v>0</v>
      </c>
      <c r="AW30" s="14">
        <f t="shared" si="14"/>
        <v>0</v>
      </c>
      <c r="AX30" s="14">
        <f t="shared" si="14"/>
        <v>0</v>
      </c>
    </row>
    <row r="31" spans="1:50">
      <c r="A31" t="str">
        <f>Grades!A31</f>
        <v>Last_22</v>
      </c>
      <c r="B31" t="str">
        <f>Grades!B31</f>
        <v>First_22</v>
      </c>
      <c r="C31" s="12">
        <f>Grades!C31</f>
        <v>21290182</v>
      </c>
      <c r="D31" s="13">
        <f t="shared" si="0"/>
        <v>0</v>
      </c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Z31" s="13">
        <f t="shared" si="1"/>
        <v>0</v>
      </c>
      <c r="AA31" s="13">
        <f t="shared" si="2"/>
        <v>0</v>
      </c>
      <c r="AB31" s="13">
        <f t="shared" si="3"/>
        <v>0</v>
      </c>
      <c r="AC31" s="13">
        <f t="shared" si="4"/>
        <v>0</v>
      </c>
      <c r="AD31" s="13">
        <f t="shared" si="5"/>
        <v>0</v>
      </c>
      <c r="AE31" s="13">
        <f t="shared" si="6"/>
        <v>0</v>
      </c>
      <c r="AF31" s="13">
        <f t="shared" si="7"/>
        <v>0</v>
      </c>
      <c r="AG31" s="13">
        <f t="shared" si="8"/>
        <v>0</v>
      </c>
      <c r="AH31" s="13">
        <f t="shared" si="9"/>
        <v>0</v>
      </c>
      <c r="AI31" s="13">
        <f t="shared" si="10"/>
        <v>0</v>
      </c>
      <c r="AJ31" s="13">
        <f t="shared" si="11"/>
        <v>0</v>
      </c>
      <c r="AK31" s="13">
        <f t="shared" si="12"/>
        <v>0</v>
      </c>
      <c r="AM31" s="14">
        <f t="shared" si="14"/>
        <v>0</v>
      </c>
      <c r="AN31" s="14">
        <f t="shared" si="14"/>
        <v>0</v>
      </c>
      <c r="AO31" s="14">
        <f t="shared" si="14"/>
        <v>0</v>
      </c>
      <c r="AP31" s="14">
        <f t="shared" si="14"/>
        <v>0</v>
      </c>
      <c r="AQ31" s="14">
        <f t="shared" si="14"/>
        <v>0</v>
      </c>
      <c r="AR31" s="14">
        <f t="shared" si="14"/>
        <v>0</v>
      </c>
      <c r="AS31" s="14">
        <f t="shared" si="14"/>
        <v>0</v>
      </c>
      <c r="AT31" s="14">
        <f t="shared" si="14"/>
        <v>0</v>
      </c>
      <c r="AU31" s="14">
        <f t="shared" si="14"/>
        <v>0</v>
      </c>
      <c r="AV31" s="14">
        <f t="shared" si="14"/>
        <v>0</v>
      </c>
      <c r="AW31" s="14">
        <f t="shared" si="14"/>
        <v>0</v>
      </c>
      <c r="AX31" s="14">
        <f t="shared" si="14"/>
        <v>0</v>
      </c>
    </row>
    <row r="32" spans="1:50">
      <c r="A32" t="str">
        <f>Grades!A32</f>
        <v>Last_23</v>
      </c>
      <c r="B32" t="str">
        <f>Grades!B32</f>
        <v>First_23</v>
      </c>
      <c r="C32" s="12">
        <f>Grades!C32</f>
        <v>5565200</v>
      </c>
      <c r="D32" s="13">
        <f t="shared" si="0"/>
        <v>0</v>
      </c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Z32" s="13">
        <f t="shared" si="1"/>
        <v>0</v>
      </c>
      <c r="AA32" s="13">
        <f t="shared" si="2"/>
        <v>0</v>
      </c>
      <c r="AB32" s="13">
        <f t="shared" si="3"/>
        <v>0</v>
      </c>
      <c r="AC32" s="13">
        <f t="shared" si="4"/>
        <v>0</v>
      </c>
      <c r="AD32" s="13">
        <f t="shared" si="5"/>
        <v>0</v>
      </c>
      <c r="AE32" s="13">
        <f t="shared" si="6"/>
        <v>0</v>
      </c>
      <c r="AF32" s="13">
        <f t="shared" si="7"/>
        <v>0</v>
      </c>
      <c r="AG32" s="13">
        <f t="shared" si="8"/>
        <v>0</v>
      </c>
      <c r="AH32" s="13">
        <f t="shared" si="9"/>
        <v>0</v>
      </c>
      <c r="AI32" s="13">
        <f t="shared" si="10"/>
        <v>0</v>
      </c>
      <c r="AJ32" s="13">
        <f t="shared" si="11"/>
        <v>0</v>
      </c>
      <c r="AK32" s="13">
        <f t="shared" si="12"/>
        <v>0</v>
      </c>
      <c r="AM32" s="14">
        <f t="shared" si="14"/>
        <v>0</v>
      </c>
      <c r="AN32" s="14">
        <f t="shared" si="14"/>
        <v>0</v>
      </c>
      <c r="AO32" s="14">
        <f t="shared" si="14"/>
        <v>0</v>
      </c>
      <c r="AP32" s="14">
        <f t="shared" si="14"/>
        <v>0</v>
      </c>
      <c r="AQ32" s="14">
        <f t="shared" si="14"/>
        <v>0</v>
      </c>
      <c r="AR32" s="14">
        <f t="shared" si="14"/>
        <v>0</v>
      </c>
      <c r="AS32" s="14">
        <f t="shared" si="14"/>
        <v>0</v>
      </c>
      <c r="AT32" s="14">
        <f t="shared" si="14"/>
        <v>0</v>
      </c>
      <c r="AU32" s="14">
        <f t="shared" si="14"/>
        <v>0</v>
      </c>
      <c r="AV32" s="14">
        <f t="shared" si="14"/>
        <v>0</v>
      </c>
      <c r="AW32" s="14">
        <f t="shared" si="14"/>
        <v>0</v>
      </c>
      <c r="AX32" s="14">
        <f t="shared" si="14"/>
        <v>0</v>
      </c>
    </row>
    <row r="33" spans="1:50">
      <c r="A33" t="str">
        <f>Grades!A33</f>
        <v>Last_24</v>
      </c>
      <c r="B33" t="str">
        <f>Grades!B33</f>
        <v>First_24</v>
      </c>
      <c r="C33" s="12">
        <f>Grades!C33</f>
        <v>13812850</v>
      </c>
      <c r="D33" s="13">
        <f t="shared" si="0"/>
        <v>0</v>
      </c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Z33" s="13">
        <f t="shared" si="1"/>
        <v>0</v>
      </c>
      <c r="AA33" s="13">
        <f t="shared" si="2"/>
        <v>0</v>
      </c>
      <c r="AB33" s="13">
        <f t="shared" si="3"/>
        <v>0</v>
      </c>
      <c r="AC33" s="13">
        <f t="shared" si="4"/>
        <v>0</v>
      </c>
      <c r="AD33" s="13">
        <f t="shared" si="5"/>
        <v>0</v>
      </c>
      <c r="AE33" s="13">
        <f t="shared" si="6"/>
        <v>0</v>
      </c>
      <c r="AF33" s="13">
        <f t="shared" si="7"/>
        <v>0</v>
      </c>
      <c r="AG33" s="13">
        <f t="shared" si="8"/>
        <v>0</v>
      </c>
      <c r="AH33" s="13">
        <f t="shared" si="9"/>
        <v>0</v>
      </c>
      <c r="AI33" s="13">
        <f t="shared" si="10"/>
        <v>0</v>
      </c>
      <c r="AJ33" s="13">
        <f t="shared" si="11"/>
        <v>0</v>
      </c>
      <c r="AK33" s="13">
        <f t="shared" si="12"/>
        <v>0</v>
      </c>
      <c r="AM33" s="14">
        <f t="shared" si="14"/>
        <v>0</v>
      </c>
      <c r="AN33" s="14">
        <f t="shared" si="14"/>
        <v>0</v>
      </c>
      <c r="AO33" s="14">
        <f t="shared" si="14"/>
        <v>0</v>
      </c>
      <c r="AP33" s="14">
        <f t="shared" si="14"/>
        <v>0</v>
      </c>
      <c r="AQ33" s="14">
        <f t="shared" si="14"/>
        <v>0</v>
      </c>
      <c r="AR33" s="14">
        <f t="shared" si="14"/>
        <v>0</v>
      </c>
      <c r="AS33" s="14">
        <f t="shared" si="14"/>
        <v>0</v>
      </c>
      <c r="AT33" s="14">
        <f t="shared" si="14"/>
        <v>0</v>
      </c>
      <c r="AU33" s="14">
        <f t="shared" si="14"/>
        <v>0</v>
      </c>
      <c r="AV33" s="14">
        <f t="shared" si="14"/>
        <v>0</v>
      </c>
      <c r="AW33" s="14">
        <f t="shared" si="14"/>
        <v>0</v>
      </c>
      <c r="AX33" s="14">
        <f t="shared" si="14"/>
        <v>0</v>
      </c>
    </row>
    <row r="34" spans="1:50">
      <c r="A34" t="str">
        <f>Grades!A34</f>
        <v>Last_25</v>
      </c>
      <c r="B34" t="str">
        <f>Grades!B34</f>
        <v>First_25</v>
      </c>
      <c r="C34" s="12">
        <f>Grades!C34</f>
        <v>39654039</v>
      </c>
      <c r="D34" s="13">
        <f t="shared" si="0"/>
        <v>0</v>
      </c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  <c r="Z34" s="13">
        <f t="shared" si="1"/>
        <v>0</v>
      </c>
      <c r="AA34" s="13">
        <f t="shared" si="2"/>
        <v>0</v>
      </c>
      <c r="AB34" s="13">
        <f t="shared" si="3"/>
        <v>0</v>
      </c>
      <c r="AC34" s="13">
        <f t="shared" si="4"/>
        <v>0</v>
      </c>
      <c r="AD34" s="13">
        <f t="shared" si="5"/>
        <v>0</v>
      </c>
      <c r="AE34" s="13">
        <f t="shared" si="6"/>
        <v>0</v>
      </c>
      <c r="AF34" s="13">
        <f t="shared" si="7"/>
        <v>0</v>
      </c>
      <c r="AG34" s="13">
        <f t="shared" si="8"/>
        <v>0</v>
      </c>
      <c r="AH34" s="13">
        <f t="shared" si="9"/>
        <v>0</v>
      </c>
      <c r="AI34" s="13">
        <f t="shared" si="10"/>
        <v>0</v>
      </c>
      <c r="AJ34" s="13">
        <f t="shared" si="11"/>
        <v>0</v>
      </c>
      <c r="AK34" s="13">
        <f t="shared" si="12"/>
        <v>0</v>
      </c>
      <c r="AM34" s="14">
        <f t="shared" si="14"/>
        <v>0</v>
      </c>
      <c r="AN34" s="14">
        <f t="shared" si="14"/>
        <v>0</v>
      </c>
      <c r="AO34" s="14">
        <f t="shared" si="14"/>
        <v>0</v>
      </c>
      <c r="AP34" s="14">
        <f t="shared" si="14"/>
        <v>0</v>
      </c>
      <c r="AQ34" s="14">
        <f t="shared" si="14"/>
        <v>0</v>
      </c>
      <c r="AR34" s="14">
        <f t="shared" si="14"/>
        <v>0</v>
      </c>
      <c r="AS34" s="14">
        <f t="shared" si="14"/>
        <v>0</v>
      </c>
      <c r="AT34" s="14">
        <f t="shared" si="14"/>
        <v>0</v>
      </c>
      <c r="AU34" s="14">
        <f t="shared" si="14"/>
        <v>0</v>
      </c>
      <c r="AV34" s="14">
        <f t="shared" si="14"/>
        <v>0</v>
      </c>
      <c r="AW34" s="14">
        <f t="shared" si="14"/>
        <v>0</v>
      </c>
      <c r="AX34" s="14">
        <f t="shared" si="14"/>
        <v>0</v>
      </c>
    </row>
    <row r="35" spans="1:50">
      <c r="A35" t="str">
        <f>Grades!A35</f>
        <v>Last_26</v>
      </c>
      <c r="B35" t="str">
        <f>Grades!B35</f>
        <v>First_26</v>
      </c>
      <c r="C35" s="12">
        <f>Grades!C35</f>
        <v>15886570</v>
      </c>
      <c r="D35" s="13">
        <f t="shared" si="0"/>
        <v>0</v>
      </c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  <c r="Z35" s="13">
        <f t="shared" si="1"/>
        <v>0</v>
      </c>
      <c r="AA35" s="13">
        <f t="shared" si="2"/>
        <v>0</v>
      </c>
      <c r="AB35" s="13">
        <f t="shared" si="3"/>
        <v>0</v>
      </c>
      <c r="AC35" s="13">
        <f t="shared" si="4"/>
        <v>0</v>
      </c>
      <c r="AD35" s="13">
        <f t="shared" si="5"/>
        <v>0</v>
      </c>
      <c r="AE35" s="13">
        <f t="shared" si="6"/>
        <v>0</v>
      </c>
      <c r="AF35" s="13">
        <f t="shared" si="7"/>
        <v>0</v>
      </c>
      <c r="AG35" s="13">
        <f t="shared" si="8"/>
        <v>0</v>
      </c>
      <c r="AH35" s="13">
        <f t="shared" si="9"/>
        <v>0</v>
      </c>
      <c r="AI35" s="13">
        <f t="shared" si="10"/>
        <v>0</v>
      </c>
      <c r="AJ35" s="13">
        <f t="shared" si="11"/>
        <v>0</v>
      </c>
      <c r="AK35" s="13">
        <f t="shared" si="12"/>
        <v>0</v>
      </c>
      <c r="AM35" s="14">
        <f t="shared" si="14"/>
        <v>0</v>
      </c>
      <c r="AN35" s="14">
        <f t="shared" si="14"/>
        <v>0</v>
      </c>
      <c r="AO35" s="14">
        <f t="shared" si="14"/>
        <v>0</v>
      </c>
      <c r="AP35" s="14">
        <f t="shared" si="14"/>
        <v>0</v>
      </c>
      <c r="AQ35" s="14">
        <f t="shared" si="14"/>
        <v>0</v>
      </c>
      <c r="AR35" s="14">
        <f t="shared" si="14"/>
        <v>0</v>
      </c>
      <c r="AS35" s="14">
        <f t="shared" si="14"/>
        <v>0</v>
      </c>
      <c r="AT35" s="14">
        <f t="shared" si="14"/>
        <v>0</v>
      </c>
      <c r="AU35" s="14">
        <f t="shared" si="14"/>
        <v>0</v>
      </c>
      <c r="AV35" s="14">
        <f t="shared" si="14"/>
        <v>0</v>
      </c>
      <c r="AW35" s="14">
        <f t="shared" si="14"/>
        <v>0</v>
      </c>
      <c r="AX35" s="14">
        <f t="shared" si="14"/>
        <v>0</v>
      </c>
    </row>
    <row r="36" spans="1:50">
      <c r="A36" t="str">
        <f>Grades!A36</f>
        <v>Last_27</v>
      </c>
      <c r="B36" t="str">
        <f>Grades!B36</f>
        <v>First_27</v>
      </c>
      <c r="C36" s="12">
        <f>Grades!C36</f>
        <v>15162223</v>
      </c>
      <c r="D36" s="13">
        <f t="shared" si="0"/>
        <v>0</v>
      </c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Z36" s="13">
        <f t="shared" si="1"/>
        <v>0</v>
      </c>
      <c r="AA36" s="13">
        <f t="shared" si="2"/>
        <v>0</v>
      </c>
      <c r="AB36" s="13">
        <f t="shared" si="3"/>
        <v>0</v>
      </c>
      <c r="AC36" s="13">
        <f t="shared" si="4"/>
        <v>0</v>
      </c>
      <c r="AD36" s="13">
        <f t="shared" si="5"/>
        <v>0</v>
      </c>
      <c r="AE36" s="13">
        <f t="shared" si="6"/>
        <v>0</v>
      </c>
      <c r="AF36" s="13">
        <f t="shared" si="7"/>
        <v>0</v>
      </c>
      <c r="AG36" s="13">
        <f t="shared" si="8"/>
        <v>0</v>
      </c>
      <c r="AH36" s="13">
        <f t="shared" si="9"/>
        <v>0</v>
      </c>
      <c r="AI36" s="13">
        <f t="shared" si="10"/>
        <v>0</v>
      </c>
      <c r="AJ36" s="13">
        <f t="shared" si="11"/>
        <v>0</v>
      </c>
      <c r="AK36" s="13">
        <f t="shared" si="12"/>
        <v>0</v>
      </c>
      <c r="AM36" s="14">
        <f t="shared" si="14"/>
        <v>0</v>
      </c>
      <c r="AN36" s="14">
        <f t="shared" si="14"/>
        <v>0</v>
      </c>
      <c r="AO36" s="14">
        <f t="shared" si="14"/>
        <v>0</v>
      </c>
      <c r="AP36" s="14">
        <f t="shared" si="14"/>
        <v>0</v>
      </c>
      <c r="AQ36" s="14">
        <f t="shared" si="14"/>
        <v>0</v>
      </c>
      <c r="AR36" s="14">
        <f t="shared" si="14"/>
        <v>0</v>
      </c>
      <c r="AS36" s="14">
        <f t="shared" si="14"/>
        <v>0</v>
      </c>
      <c r="AT36" s="14">
        <f t="shared" si="14"/>
        <v>0</v>
      </c>
      <c r="AU36" s="14">
        <f t="shared" si="14"/>
        <v>0</v>
      </c>
      <c r="AV36" s="14">
        <f t="shared" si="14"/>
        <v>0</v>
      </c>
      <c r="AW36" s="14">
        <f t="shared" si="14"/>
        <v>0</v>
      </c>
      <c r="AX36" s="14">
        <f t="shared" si="14"/>
        <v>0</v>
      </c>
    </row>
    <row r="37" spans="1:50">
      <c r="A37" t="str">
        <f>Grades!A37</f>
        <v>Last_28</v>
      </c>
      <c r="B37" t="str">
        <f>Grades!B37</f>
        <v>First_28</v>
      </c>
      <c r="C37" s="12">
        <f>Grades!C37</f>
        <v>6694126</v>
      </c>
      <c r="D37" s="13">
        <f t="shared" si="0"/>
        <v>0</v>
      </c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Z37" s="13">
        <f t="shared" si="1"/>
        <v>0</v>
      </c>
      <c r="AA37" s="13">
        <f t="shared" si="2"/>
        <v>0</v>
      </c>
      <c r="AB37" s="13">
        <f t="shared" si="3"/>
        <v>0</v>
      </c>
      <c r="AC37" s="13">
        <f t="shared" si="4"/>
        <v>0</v>
      </c>
      <c r="AD37" s="13">
        <f t="shared" si="5"/>
        <v>0</v>
      </c>
      <c r="AE37" s="13">
        <f t="shared" si="6"/>
        <v>0</v>
      </c>
      <c r="AF37" s="13">
        <f t="shared" si="7"/>
        <v>0</v>
      </c>
      <c r="AG37" s="13">
        <f t="shared" si="8"/>
        <v>0</v>
      </c>
      <c r="AH37" s="13">
        <f t="shared" si="9"/>
        <v>0</v>
      </c>
      <c r="AI37" s="13">
        <f t="shared" si="10"/>
        <v>0</v>
      </c>
      <c r="AJ37" s="13">
        <f t="shared" si="11"/>
        <v>0</v>
      </c>
      <c r="AK37" s="13">
        <f t="shared" si="12"/>
        <v>0</v>
      </c>
      <c r="AM37" s="14">
        <f t="shared" si="14"/>
        <v>0</v>
      </c>
      <c r="AN37" s="14">
        <f t="shared" si="14"/>
        <v>0</v>
      </c>
      <c r="AO37" s="14">
        <f t="shared" si="14"/>
        <v>0</v>
      </c>
      <c r="AP37" s="14">
        <f t="shared" si="14"/>
        <v>0</v>
      </c>
      <c r="AQ37" s="14">
        <f t="shared" si="14"/>
        <v>0</v>
      </c>
      <c r="AR37" s="14">
        <f t="shared" si="14"/>
        <v>0</v>
      </c>
      <c r="AS37" s="14">
        <f>IF(AF$9&gt;0,AF37/AF$9,0)</f>
        <v>0</v>
      </c>
      <c r="AT37" s="14">
        <f t="shared" si="14"/>
        <v>0</v>
      </c>
      <c r="AU37" s="14">
        <f t="shared" si="14"/>
        <v>0</v>
      </c>
      <c r="AV37" s="14">
        <f t="shared" si="14"/>
        <v>0</v>
      </c>
      <c r="AW37" s="14">
        <f t="shared" si="14"/>
        <v>0</v>
      </c>
      <c r="AX37" s="14">
        <f t="shared" si="14"/>
        <v>0</v>
      </c>
    </row>
    <row r="38" spans="1:50">
      <c r="C38" s="12"/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3"/>
      <c r="Z38" s="13">
        <f t="shared" si="1"/>
        <v>0</v>
      </c>
      <c r="AA38" s="13">
        <f t="shared" si="2"/>
        <v>0</v>
      </c>
      <c r="AB38" s="13">
        <f t="shared" si="3"/>
        <v>0</v>
      </c>
      <c r="AC38" s="13">
        <f t="shared" si="4"/>
        <v>0</v>
      </c>
      <c r="AD38" s="13">
        <f t="shared" si="5"/>
        <v>0</v>
      </c>
      <c r="AE38" s="13">
        <f t="shared" si="6"/>
        <v>0</v>
      </c>
      <c r="AF38" s="13">
        <f t="shared" si="7"/>
        <v>0</v>
      </c>
      <c r="AG38" s="13">
        <f t="shared" si="8"/>
        <v>0</v>
      </c>
      <c r="AH38" s="13">
        <f t="shared" si="9"/>
        <v>0</v>
      </c>
      <c r="AI38" s="13">
        <f t="shared" si="10"/>
        <v>0</v>
      </c>
      <c r="AJ38" s="13">
        <f t="shared" si="11"/>
        <v>0</v>
      </c>
      <c r="AK38" s="13">
        <f t="shared" si="12"/>
        <v>0</v>
      </c>
      <c r="AM38" s="14">
        <f t="shared" si="14"/>
        <v>0</v>
      </c>
      <c r="AN38" s="14">
        <f t="shared" si="14"/>
        <v>0</v>
      </c>
      <c r="AO38" s="14">
        <f t="shared" si="14"/>
        <v>0</v>
      </c>
      <c r="AP38" s="14">
        <f t="shared" si="14"/>
        <v>0</v>
      </c>
      <c r="AQ38" s="14">
        <f t="shared" si="14"/>
        <v>0</v>
      </c>
      <c r="AR38" s="14">
        <f t="shared" si="14"/>
        <v>0</v>
      </c>
      <c r="AS38" s="14">
        <f t="shared" si="14"/>
        <v>0</v>
      </c>
      <c r="AT38" s="14">
        <f t="shared" si="14"/>
        <v>0</v>
      </c>
      <c r="AU38" s="14">
        <f t="shared" si="14"/>
        <v>0</v>
      </c>
      <c r="AV38" s="14">
        <f t="shared" si="14"/>
        <v>0</v>
      </c>
      <c r="AW38" s="14">
        <f t="shared" si="14"/>
        <v>0</v>
      </c>
      <c r="AX38" s="14">
        <f t="shared" si="14"/>
        <v>0</v>
      </c>
    </row>
    <row r="39" spans="1:50">
      <c r="C39" s="12"/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Z39" s="13">
        <f t="shared" si="1"/>
        <v>0</v>
      </c>
      <c r="AA39" s="13">
        <f t="shared" si="2"/>
        <v>0</v>
      </c>
      <c r="AB39" s="13">
        <f t="shared" si="3"/>
        <v>0</v>
      </c>
      <c r="AC39" s="13">
        <f t="shared" si="4"/>
        <v>0</v>
      </c>
      <c r="AD39" s="13">
        <f t="shared" si="5"/>
        <v>0</v>
      </c>
      <c r="AE39" s="13">
        <f t="shared" si="6"/>
        <v>0</v>
      </c>
      <c r="AF39" s="13">
        <f t="shared" si="7"/>
        <v>0</v>
      </c>
      <c r="AG39" s="13">
        <f t="shared" si="8"/>
        <v>0</v>
      </c>
      <c r="AH39" s="13">
        <f t="shared" si="9"/>
        <v>0</v>
      </c>
      <c r="AI39" s="13">
        <f t="shared" si="10"/>
        <v>0</v>
      </c>
      <c r="AJ39" s="13">
        <f t="shared" si="11"/>
        <v>0</v>
      </c>
      <c r="AK39" s="13">
        <f t="shared" si="12"/>
        <v>0</v>
      </c>
      <c r="AM39" s="14">
        <f t="shared" si="14"/>
        <v>0</v>
      </c>
      <c r="AN39" s="14">
        <f t="shared" si="14"/>
        <v>0</v>
      </c>
      <c r="AO39" s="14">
        <f t="shared" si="14"/>
        <v>0</v>
      </c>
      <c r="AP39" s="14">
        <f t="shared" si="14"/>
        <v>0</v>
      </c>
      <c r="AQ39" s="14">
        <f t="shared" si="14"/>
        <v>0</v>
      </c>
      <c r="AR39" s="14">
        <f t="shared" si="14"/>
        <v>0</v>
      </c>
      <c r="AS39" s="14">
        <f t="shared" si="14"/>
        <v>0</v>
      </c>
      <c r="AT39" s="14">
        <f t="shared" si="14"/>
        <v>0</v>
      </c>
      <c r="AU39" s="14">
        <f t="shared" si="14"/>
        <v>0</v>
      </c>
      <c r="AV39" s="14">
        <f t="shared" si="14"/>
        <v>0</v>
      </c>
      <c r="AW39" s="14">
        <f t="shared" si="14"/>
        <v>0</v>
      </c>
      <c r="AX39" s="14">
        <f t="shared" si="14"/>
        <v>0</v>
      </c>
    </row>
    <row r="40" spans="1:50">
      <c r="C40" s="12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Z40" s="13">
        <f t="shared" si="1"/>
        <v>0</v>
      </c>
      <c r="AA40" s="13">
        <f t="shared" si="2"/>
        <v>0</v>
      </c>
      <c r="AB40" s="13">
        <f t="shared" si="3"/>
        <v>0</v>
      </c>
      <c r="AC40" s="13">
        <f t="shared" si="4"/>
        <v>0</v>
      </c>
      <c r="AD40" s="13">
        <f t="shared" si="5"/>
        <v>0</v>
      </c>
      <c r="AE40" s="13">
        <f t="shared" si="6"/>
        <v>0</v>
      </c>
      <c r="AF40" s="13">
        <f t="shared" si="7"/>
        <v>0</v>
      </c>
      <c r="AG40" s="13">
        <f t="shared" si="8"/>
        <v>0</v>
      </c>
      <c r="AH40" s="13">
        <f t="shared" si="9"/>
        <v>0</v>
      </c>
      <c r="AI40" s="13">
        <f t="shared" si="10"/>
        <v>0</v>
      </c>
      <c r="AJ40" s="13">
        <f t="shared" si="11"/>
        <v>0</v>
      </c>
      <c r="AK40" s="13">
        <f t="shared" si="12"/>
        <v>0</v>
      </c>
      <c r="AM40" s="14">
        <f t="shared" si="14"/>
        <v>0</v>
      </c>
      <c r="AN40" s="14">
        <f t="shared" si="14"/>
        <v>0</v>
      </c>
      <c r="AO40" s="14">
        <f t="shared" si="14"/>
        <v>0</v>
      </c>
      <c r="AP40" s="14">
        <f t="shared" si="14"/>
        <v>0</v>
      </c>
      <c r="AQ40" s="14">
        <f t="shared" si="14"/>
        <v>0</v>
      </c>
      <c r="AR40" s="14">
        <f t="shared" si="14"/>
        <v>0</v>
      </c>
      <c r="AS40" s="14">
        <f t="shared" si="14"/>
        <v>0</v>
      </c>
      <c r="AT40" s="14">
        <f t="shared" si="14"/>
        <v>0</v>
      </c>
      <c r="AU40" s="14">
        <f t="shared" si="14"/>
        <v>0</v>
      </c>
      <c r="AV40" s="14">
        <f t="shared" si="14"/>
        <v>0</v>
      </c>
      <c r="AW40" s="14">
        <f t="shared" si="14"/>
        <v>0</v>
      </c>
      <c r="AX40" s="14">
        <f t="shared" si="14"/>
        <v>0</v>
      </c>
    </row>
    <row r="41" spans="1:50">
      <c r="C41" s="12"/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3"/>
      <c r="Z41" s="13">
        <f t="shared" si="1"/>
        <v>0</v>
      </c>
      <c r="AA41" s="13">
        <f t="shared" si="2"/>
        <v>0</v>
      </c>
      <c r="AB41" s="13">
        <f t="shared" si="3"/>
        <v>0</v>
      </c>
      <c r="AC41" s="13">
        <f t="shared" si="4"/>
        <v>0</v>
      </c>
      <c r="AD41" s="13">
        <f t="shared" si="5"/>
        <v>0</v>
      </c>
      <c r="AE41" s="13">
        <f t="shared" si="6"/>
        <v>0</v>
      </c>
      <c r="AF41" s="13">
        <f t="shared" si="7"/>
        <v>0</v>
      </c>
      <c r="AG41" s="13">
        <f t="shared" si="8"/>
        <v>0</v>
      </c>
      <c r="AH41" s="13">
        <f t="shared" si="9"/>
        <v>0</v>
      </c>
      <c r="AI41" s="13">
        <f t="shared" si="10"/>
        <v>0</v>
      </c>
      <c r="AJ41" s="13">
        <f t="shared" si="11"/>
        <v>0</v>
      </c>
      <c r="AK41" s="13">
        <f t="shared" si="12"/>
        <v>0</v>
      </c>
      <c r="AM41" s="14">
        <f t="shared" si="14"/>
        <v>0</v>
      </c>
      <c r="AN41" s="14">
        <f t="shared" si="14"/>
        <v>0</v>
      </c>
      <c r="AO41" s="14">
        <f t="shared" si="14"/>
        <v>0</v>
      </c>
      <c r="AP41" s="14">
        <f t="shared" si="14"/>
        <v>0</v>
      </c>
      <c r="AQ41" s="14">
        <f t="shared" si="14"/>
        <v>0</v>
      </c>
      <c r="AR41" s="14">
        <f t="shared" si="14"/>
        <v>0</v>
      </c>
      <c r="AS41" s="14">
        <f t="shared" si="14"/>
        <v>0</v>
      </c>
      <c r="AT41" s="14">
        <f t="shared" si="14"/>
        <v>0</v>
      </c>
      <c r="AU41" s="14">
        <f t="shared" si="14"/>
        <v>0</v>
      </c>
      <c r="AV41" s="14">
        <f t="shared" si="14"/>
        <v>0</v>
      </c>
      <c r="AW41" s="14">
        <f t="shared" si="14"/>
        <v>0</v>
      </c>
      <c r="AX41" s="14">
        <f t="shared" si="14"/>
        <v>0</v>
      </c>
    </row>
    <row r="42" spans="1:50">
      <c r="C42" s="12"/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13"/>
      <c r="Z42" s="13">
        <f t="shared" ref="Z42:Z73" si="16">SUMIF($E$9:$X$9,"3.1.1 ",$E42:$X42)</f>
        <v>0</v>
      </c>
      <c r="AA42" s="13">
        <f t="shared" ref="AA42:AA73" si="17">SUMIF($E$9:$X$9,"3.1.2 ",$E42:$X42)</f>
        <v>0</v>
      </c>
      <c r="AB42" s="13">
        <f t="shared" ref="AB42:AB73" si="18">SUMIF($E$9:$X$9,"3.1.3 ",$E42:$X42)</f>
        <v>0</v>
      </c>
      <c r="AC42" s="13">
        <f t="shared" ref="AC42:AC73" si="19">SUMIF($E$9:$X$9,"3.1.4 ",$E42:$X42)</f>
        <v>0</v>
      </c>
      <c r="AD42" s="13">
        <f t="shared" ref="AD42:AD73" si="20">SUMIF($E$9:$X$9,"3.1.5 ",$E42:$X42)</f>
        <v>0</v>
      </c>
      <c r="AE42" s="13">
        <f t="shared" ref="AE42:AE73" si="21">SUMIF($E$9:$X$9,"3.1.6 ",$E42:$X42)</f>
        <v>0</v>
      </c>
      <c r="AF42" s="13">
        <f t="shared" ref="AF42:AF73" si="22">SUMIF($E$9:$X$9,"3.1.7 ",$E42:$X42)</f>
        <v>0</v>
      </c>
      <c r="AG42" s="13">
        <f t="shared" ref="AG42:AG73" si="23">SUMIF($E$9:$X$9,"3.1.8 ",$E42:$X42)</f>
        <v>0</v>
      </c>
      <c r="AH42" s="13">
        <f t="shared" ref="AH42:AH73" si="24">SUMIF($E$9:$X$9,"3.1.9 ",$E42:$X42)</f>
        <v>0</v>
      </c>
      <c r="AI42" s="13">
        <f t="shared" ref="AI42:AI73" si="25">SUMIF($E$9:$X$9,"3.1.10",$E42:$X42)</f>
        <v>0</v>
      </c>
      <c r="AJ42" s="13">
        <f t="shared" ref="AJ42:AJ73" si="26">SUMIF($E$9:$X$9,"3.1.11",$E42:$X42)</f>
        <v>0</v>
      </c>
      <c r="AK42" s="13">
        <f t="shared" ref="AK42:AK73" si="27">SUMIF($E$9:$X$9,"3.1.12",$E42:$X42)</f>
        <v>0</v>
      </c>
      <c r="AM42" s="14">
        <f t="shared" si="14"/>
        <v>0</v>
      </c>
      <c r="AN42" s="14">
        <f t="shared" si="14"/>
        <v>0</v>
      </c>
      <c r="AO42" s="14">
        <f t="shared" si="14"/>
        <v>0</v>
      </c>
      <c r="AP42" s="14">
        <f t="shared" si="14"/>
        <v>0</v>
      </c>
      <c r="AQ42" s="14">
        <f t="shared" si="14"/>
        <v>0</v>
      </c>
      <c r="AR42" s="14">
        <f t="shared" si="14"/>
        <v>0</v>
      </c>
      <c r="AS42" s="14">
        <f t="shared" si="14"/>
        <v>0</v>
      </c>
      <c r="AT42" s="14">
        <f t="shared" si="14"/>
        <v>0</v>
      </c>
      <c r="AU42" s="14">
        <f t="shared" si="14"/>
        <v>0</v>
      </c>
      <c r="AV42" s="14">
        <f t="shared" si="14"/>
        <v>0</v>
      </c>
      <c r="AW42" s="14">
        <f t="shared" si="14"/>
        <v>0</v>
      </c>
      <c r="AX42" s="14">
        <f t="shared" si="14"/>
        <v>0</v>
      </c>
    </row>
    <row r="43" spans="1:50">
      <c r="C43" s="12"/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13"/>
      <c r="Z43" s="13">
        <f t="shared" si="16"/>
        <v>0</v>
      </c>
      <c r="AA43" s="13">
        <f t="shared" si="17"/>
        <v>0</v>
      </c>
      <c r="AB43" s="13">
        <f t="shared" si="18"/>
        <v>0</v>
      </c>
      <c r="AC43" s="13">
        <f t="shared" si="19"/>
        <v>0</v>
      </c>
      <c r="AD43" s="13">
        <f t="shared" si="20"/>
        <v>0</v>
      </c>
      <c r="AE43" s="13">
        <f t="shared" si="21"/>
        <v>0</v>
      </c>
      <c r="AF43" s="13">
        <f t="shared" si="22"/>
        <v>0</v>
      </c>
      <c r="AG43" s="13">
        <f t="shared" si="23"/>
        <v>0</v>
      </c>
      <c r="AH43" s="13">
        <f t="shared" si="24"/>
        <v>0</v>
      </c>
      <c r="AI43" s="13">
        <f t="shared" si="25"/>
        <v>0</v>
      </c>
      <c r="AJ43" s="13">
        <f t="shared" si="26"/>
        <v>0</v>
      </c>
      <c r="AK43" s="13">
        <f t="shared" si="27"/>
        <v>0</v>
      </c>
      <c r="AM43" s="14">
        <f t="shared" si="14"/>
        <v>0</v>
      </c>
      <c r="AN43" s="14">
        <f t="shared" si="14"/>
        <v>0</v>
      </c>
      <c r="AO43" s="14">
        <f t="shared" si="14"/>
        <v>0</v>
      </c>
      <c r="AP43" s="14">
        <f t="shared" si="14"/>
        <v>0</v>
      </c>
      <c r="AQ43" s="14">
        <f t="shared" si="14"/>
        <v>0</v>
      </c>
      <c r="AR43" s="14">
        <f t="shared" si="14"/>
        <v>0</v>
      </c>
      <c r="AS43" s="14">
        <f t="shared" si="14"/>
        <v>0</v>
      </c>
      <c r="AT43" s="14">
        <f t="shared" si="14"/>
        <v>0</v>
      </c>
      <c r="AU43" s="14">
        <f t="shared" si="14"/>
        <v>0</v>
      </c>
      <c r="AV43" s="14">
        <f t="shared" si="14"/>
        <v>0</v>
      </c>
      <c r="AW43" s="14">
        <f t="shared" si="14"/>
        <v>0</v>
      </c>
      <c r="AX43" s="14">
        <f t="shared" si="14"/>
        <v>0</v>
      </c>
    </row>
    <row r="44" spans="1:50">
      <c r="C44" s="12"/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3"/>
      <c r="X44" s="13"/>
      <c r="Z44" s="13">
        <f t="shared" si="16"/>
        <v>0</v>
      </c>
      <c r="AA44" s="13">
        <f t="shared" si="17"/>
        <v>0</v>
      </c>
      <c r="AB44" s="13">
        <f t="shared" si="18"/>
        <v>0</v>
      </c>
      <c r="AC44" s="13">
        <f t="shared" si="19"/>
        <v>0</v>
      </c>
      <c r="AD44" s="13">
        <f t="shared" si="20"/>
        <v>0</v>
      </c>
      <c r="AE44" s="13">
        <f t="shared" si="21"/>
        <v>0</v>
      </c>
      <c r="AF44" s="13">
        <f t="shared" si="22"/>
        <v>0</v>
      </c>
      <c r="AG44" s="13">
        <f t="shared" si="23"/>
        <v>0</v>
      </c>
      <c r="AH44" s="13">
        <f t="shared" si="24"/>
        <v>0</v>
      </c>
      <c r="AI44" s="13">
        <f t="shared" si="25"/>
        <v>0</v>
      </c>
      <c r="AJ44" s="13">
        <f t="shared" si="26"/>
        <v>0</v>
      </c>
      <c r="AK44" s="13">
        <f t="shared" si="27"/>
        <v>0</v>
      </c>
      <c r="AM44" s="14">
        <f t="shared" si="14"/>
        <v>0</v>
      </c>
      <c r="AN44" s="14">
        <f t="shared" si="14"/>
        <v>0</v>
      </c>
      <c r="AO44" s="14">
        <f t="shared" si="14"/>
        <v>0</v>
      </c>
      <c r="AP44" s="14">
        <f t="shared" si="14"/>
        <v>0</v>
      </c>
      <c r="AQ44" s="14">
        <f t="shared" si="14"/>
        <v>0</v>
      </c>
      <c r="AR44" s="14">
        <f t="shared" si="14"/>
        <v>0</v>
      </c>
      <c r="AS44" s="14">
        <f t="shared" si="14"/>
        <v>0</v>
      </c>
      <c r="AT44" s="14">
        <f t="shared" si="14"/>
        <v>0</v>
      </c>
      <c r="AU44" s="14">
        <f t="shared" si="14"/>
        <v>0</v>
      </c>
      <c r="AV44" s="14">
        <f t="shared" si="14"/>
        <v>0</v>
      </c>
      <c r="AW44" s="14">
        <f t="shared" si="14"/>
        <v>0</v>
      </c>
      <c r="AX44" s="14">
        <f t="shared" si="14"/>
        <v>0</v>
      </c>
    </row>
    <row r="45" spans="1:50">
      <c r="C45" s="12"/>
      <c r="D45" s="13"/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3"/>
      <c r="X45" s="13"/>
      <c r="Z45" s="13">
        <f t="shared" si="16"/>
        <v>0</v>
      </c>
      <c r="AA45" s="13">
        <f t="shared" si="17"/>
        <v>0</v>
      </c>
      <c r="AB45" s="13">
        <f t="shared" si="18"/>
        <v>0</v>
      </c>
      <c r="AC45" s="13">
        <f t="shared" si="19"/>
        <v>0</v>
      </c>
      <c r="AD45" s="13">
        <f t="shared" si="20"/>
        <v>0</v>
      </c>
      <c r="AE45" s="13">
        <f t="shared" si="21"/>
        <v>0</v>
      </c>
      <c r="AF45" s="13">
        <f t="shared" si="22"/>
        <v>0</v>
      </c>
      <c r="AG45" s="13">
        <f t="shared" si="23"/>
        <v>0</v>
      </c>
      <c r="AH45" s="13">
        <f t="shared" si="24"/>
        <v>0</v>
      </c>
      <c r="AI45" s="13">
        <f t="shared" si="25"/>
        <v>0</v>
      </c>
      <c r="AJ45" s="13">
        <f t="shared" si="26"/>
        <v>0</v>
      </c>
      <c r="AK45" s="13">
        <f t="shared" si="27"/>
        <v>0</v>
      </c>
      <c r="AM45" s="14">
        <f t="shared" si="14"/>
        <v>0</v>
      </c>
      <c r="AN45" s="14">
        <f t="shared" si="14"/>
        <v>0</v>
      </c>
      <c r="AO45" s="14">
        <f t="shared" si="14"/>
        <v>0</v>
      </c>
      <c r="AP45" s="14">
        <f t="shared" si="14"/>
        <v>0</v>
      </c>
      <c r="AQ45" s="14">
        <f t="shared" si="14"/>
        <v>0</v>
      </c>
      <c r="AR45" s="14">
        <f t="shared" si="14"/>
        <v>0</v>
      </c>
      <c r="AS45" s="14">
        <f t="shared" si="14"/>
        <v>0</v>
      </c>
      <c r="AT45" s="14">
        <f t="shared" si="14"/>
        <v>0</v>
      </c>
      <c r="AU45" s="14">
        <f t="shared" si="14"/>
        <v>0</v>
      </c>
      <c r="AV45" s="14">
        <f t="shared" si="14"/>
        <v>0</v>
      </c>
      <c r="AW45" s="14">
        <f t="shared" si="14"/>
        <v>0</v>
      </c>
      <c r="AX45" s="14">
        <f t="shared" si="14"/>
        <v>0</v>
      </c>
    </row>
    <row r="46" spans="1:50">
      <c r="C46" s="12"/>
      <c r="D46" s="13"/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3"/>
      <c r="X46" s="13"/>
      <c r="Z46" s="13">
        <f t="shared" si="16"/>
        <v>0</v>
      </c>
      <c r="AA46" s="13">
        <f t="shared" si="17"/>
        <v>0</v>
      </c>
      <c r="AB46" s="13">
        <f t="shared" si="18"/>
        <v>0</v>
      </c>
      <c r="AC46" s="13">
        <f t="shared" si="19"/>
        <v>0</v>
      </c>
      <c r="AD46" s="13">
        <f t="shared" si="20"/>
        <v>0</v>
      </c>
      <c r="AE46" s="13">
        <f t="shared" si="21"/>
        <v>0</v>
      </c>
      <c r="AF46" s="13">
        <f t="shared" si="22"/>
        <v>0</v>
      </c>
      <c r="AG46" s="13">
        <f t="shared" si="23"/>
        <v>0</v>
      </c>
      <c r="AH46" s="13">
        <f t="shared" si="24"/>
        <v>0</v>
      </c>
      <c r="AI46" s="13">
        <f t="shared" si="25"/>
        <v>0</v>
      </c>
      <c r="AJ46" s="13">
        <f t="shared" si="26"/>
        <v>0</v>
      </c>
      <c r="AK46" s="13">
        <f t="shared" si="27"/>
        <v>0</v>
      </c>
      <c r="AM46" s="14">
        <f t="shared" si="14"/>
        <v>0</v>
      </c>
      <c r="AN46" s="14">
        <f t="shared" ref="AN46:AX69" si="28">IF(AA$9&gt;0,AA46/AA$9,0)</f>
        <v>0</v>
      </c>
      <c r="AO46" s="14">
        <f t="shared" si="28"/>
        <v>0</v>
      </c>
      <c r="AP46" s="14">
        <f t="shared" si="28"/>
        <v>0</v>
      </c>
      <c r="AQ46" s="14">
        <f t="shared" si="28"/>
        <v>0</v>
      </c>
      <c r="AR46" s="14">
        <f t="shared" si="28"/>
        <v>0</v>
      </c>
      <c r="AS46" s="14">
        <f t="shared" si="28"/>
        <v>0</v>
      </c>
      <c r="AT46" s="14">
        <f t="shared" si="28"/>
        <v>0</v>
      </c>
      <c r="AU46" s="14">
        <f t="shared" si="28"/>
        <v>0</v>
      </c>
      <c r="AV46" s="14">
        <f t="shared" si="28"/>
        <v>0</v>
      </c>
      <c r="AW46" s="14">
        <f t="shared" si="28"/>
        <v>0</v>
      </c>
      <c r="AX46" s="14">
        <f t="shared" si="28"/>
        <v>0</v>
      </c>
    </row>
    <row r="47" spans="1:50">
      <c r="C47" s="12"/>
      <c r="D47" s="13"/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13"/>
      <c r="V47" s="13"/>
      <c r="W47" s="13"/>
      <c r="X47" s="13"/>
      <c r="Z47" s="13">
        <f t="shared" si="16"/>
        <v>0</v>
      </c>
      <c r="AA47" s="13">
        <f t="shared" si="17"/>
        <v>0</v>
      </c>
      <c r="AB47" s="13">
        <f t="shared" si="18"/>
        <v>0</v>
      </c>
      <c r="AC47" s="13">
        <f t="shared" si="19"/>
        <v>0</v>
      </c>
      <c r="AD47" s="13">
        <f t="shared" si="20"/>
        <v>0</v>
      </c>
      <c r="AE47" s="13">
        <f t="shared" si="21"/>
        <v>0</v>
      </c>
      <c r="AF47" s="13">
        <f t="shared" si="22"/>
        <v>0</v>
      </c>
      <c r="AG47" s="13">
        <f t="shared" si="23"/>
        <v>0</v>
      </c>
      <c r="AH47" s="13">
        <f t="shared" si="24"/>
        <v>0</v>
      </c>
      <c r="AI47" s="13">
        <f t="shared" si="25"/>
        <v>0</v>
      </c>
      <c r="AJ47" s="13">
        <f t="shared" si="26"/>
        <v>0</v>
      </c>
      <c r="AK47" s="13">
        <f t="shared" si="27"/>
        <v>0</v>
      </c>
      <c r="AM47" s="14">
        <f t="shared" ref="AM47:AR100" si="29">IF(Z$9&gt;0,Z47/Z$9,0)</f>
        <v>0</v>
      </c>
      <c r="AN47" s="14">
        <f t="shared" si="28"/>
        <v>0</v>
      </c>
      <c r="AO47" s="14">
        <f t="shared" si="28"/>
        <v>0</v>
      </c>
      <c r="AP47" s="14">
        <f t="shared" si="28"/>
        <v>0</v>
      </c>
      <c r="AQ47" s="14">
        <f t="shared" si="28"/>
        <v>0</v>
      </c>
      <c r="AR47" s="14">
        <f t="shared" si="28"/>
        <v>0</v>
      </c>
      <c r="AS47" s="14">
        <f t="shared" si="28"/>
        <v>0</v>
      </c>
      <c r="AT47" s="14">
        <f t="shared" si="28"/>
        <v>0</v>
      </c>
      <c r="AU47" s="14">
        <f t="shared" si="28"/>
        <v>0</v>
      </c>
      <c r="AV47" s="14">
        <f t="shared" si="28"/>
        <v>0</v>
      </c>
      <c r="AW47" s="14">
        <f t="shared" si="28"/>
        <v>0</v>
      </c>
      <c r="AX47" s="14">
        <f t="shared" si="28"/>
        <v>0</v>
      </c>
    </row>
    <row r="48" spans="1:50">
      <c r="C48" s="12"/>
      <c r="D48" s="13"/>
      <c r="E48" s="13"/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3"/>
      <c r="X48" s="13"/>
      <c r="Z48" s="13">
        <f t="shared" si="16"/>
        <v>0</v>
      </c>
      <c r="AA48" s="13">
        <f t="shared" si="17"/>
        <v>0</v>
      </c>
      <c r="AB48" s="13">
        <f t="shared" si="18"/>
        <v>0</v>
      </c>
      <c r="AC48" s="13">
        <f t="shared" si="19"/>
        <v>0</v>
      </c>
      <c r="AD48" s="13">
        <f t="shared" si="20"/>
        <v>0</v>
      </c>
      <c r="AE48" s="13">
        <f t="shared" si="21"/>
        <v>0</v>
      </c>
      <c r="AF48" s="13">
        <f t="shared" si="22"/>
        <v>0</v>
      </c>
      <c r="AG48" s="13">
        <f t="shared" si="23"/>
        <v>0</v>
      </c>
      <c r="AH48" s="13">
        <f t="shared" si="24"/>
        <v>0</v>
      </c>
      <c r="AI48" s="13">
        <f t="shared" si="25"/>
        <v>0</v>
      </c>
      <c r="AJ48" s="13">
        <f t="shared" si="26"/>
        <v>0</v>
      </c>
      <c r="AK48" s="13">
        <f t="shared" si="27"/>
        <v>0</v>
      </c>
      <c r="AM48" s="14">
        <f t="shared" si="29"/>
        <v>0</v>
      </c>
      <c r="AN48" s="14">
        <f t="shared" si="28"/>
        <v>0</v>
      </c>
      <c r="AO48" s="14">
        <f t="shared" si="28"/>
        <v>0</v>
      </c>
      <c r="AP48" s="14">
        <f t="shared" si="28"/>
        <v>0</v>
      </c>
      <c r="AQ48" s="14">
        <f t="shared" si="28"/>
        <v>0</v>
      </c>
      <c r="AR48" s="14">
        <f t="shared" si="28"/>
        <v>0</v>
      </c>
      <c r="AS48" s="14">
        <f t="shared" si="28"/>
        <v>0</v>
      </c>
      <c r="AT48" s="14">
        <f t="shared" si="28"/>
        <v>0</v>
      </c>
      <c r="AU48" s="14">
        <f t="shared" si="28"/>
        <v>0</v>
      </c>
      <c r="AV48" s="14">
        <f t="shared" si="28"/>
        <v>0</v>
      </c>
      <c r="AW48" s="14">
        <f t="shared" si="28"/>
        <v>0</v>
      </c>
      <c r="AX48" s="14">
        <f t="shared" si="28"/>
        <v>0</v>
      </c>
    </row>
    <row r="49" spans="3:50">
      <c r="C49" s="12"/>
      <c r="D49" s="13"/>
      <c r="E49" s="13"/>
      <c r="F49" s="13"/>
      <c r="G49" s="13"/>
      <c r="H49" s="13"/>
      <c r="I49" s="13"/>
      <c r="J49" s="13"/>
      <c r="K49" s="13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3"/>
      <c r="X49" s="13"/>
      <c r="Z49" s="13">
        <f t="shared" si="16"/>
        <v>0</v>
      </c>
      <c r="AA49" s="13">
        <f t="shared" si="17"/>
        <v>0</v>
      </c>
      <c r="AB49" s="13">
        <f t="shared" si="18"/>
        <v>0</v>
      </c>
      <c r="AC49" s="13">
        <f t="shared" si="19"/>
        <v>0</v>
      </c>
      <c r="AD49" s="13">
        <f t="shared" si="20"/>
        <v>0</v>
      </c>
      <c r="AE49" s="13">
        <f t="shared" si="21"/>
        <v>0</v>
      </c>
      <c r="AF49" s="13">
        <f t="shared" si="22"/>
        <v>0</v>
      </c>
      <c r="AG49" s="13">
        <f t="shared" si="23"/>
        <v>0</v>
      </c>
      <c r="AH49" s="13">
        <f t="shared" si="24"/>
        <v>0</v>
      </c>
      <c r="AI49" s="13">
        <f t="shared" si="25"/>
        <v>0</v>
      </c>
      <c r="AJ49" s="13">
        <f t="shared" si="26"/>
        <v>0</v>
      </c>
      <c r="AK49" s="13">
        <f t="shared" si="27"/>
        <v>0</v>
      </c>
      <c r="AM49" s="14">
        <f t="shared" si="29"/>
        <v>0</v>
      </c>
      <c r="AN49" s="14">
        <f t="shared" si="28"/>
        <v>0</v>
      </c>
      <c r="AO49" s="14">
        <f t="shared" si="28"/>
        <v>0</v>
      </c>
      <c r="AP49" s="14">
        <f t="shared" si="28"/>
        <v>0</v>
      </c>
      <c r="AQ49" s="14">
        <f t="shared" si="28"/>
        <v>0</v>
      </c>
      <c r="AR49" s="14">
        <f t="shared" si="28"/>
        <v>0</v>
      </c>
      <c r="AS49" s="14">
        <f t="shared" si="28"/>
        <v>0</v>
      </c>
      <c r="AT49" s="14">
        <f t="shared" si="28"/>
        <v>0</v>
      </c>
      <c r="AU49" s="14">
        <f t="shared" si="28"/>
        <v>0</v>
      </c>
      <c r="AV49" s="14">
        <f t="shared" si="28"/>
        <v>0</v>
      </c>
      <c r="AW49" s="14">
        <f t="shared" si="28"/>
        <v>0</v>
      </c>
      <c r="AX49" s="14">
        <f t="shared" si="28"/>
        <v>0</v>
      </c>
    </row>
    <row r="50" spans="3:50">
      <c r="C50" s="12"/>
      <c r="D50" s="13"/>
      <c r="E50" s="13"/>
      <c r="F50" s="13"/>
      <c r="G50" s="13"/>
      <c r="H50" s="13"/>
      <c r="I50" s="13"/>
      <c r="J50" s="13"/>
      <c r="K50" s="13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3"/>
      <c r="X50" s="13"/>
      <c r="Z50" s="13">
        <f t="shared" si="16"/>
        <v>0</v>
      </c>
      <c r="AA50" s="13">
        <f t="shared" si="17"/>
        <v>0</v>
      </c>
      <c r="AB50" s="13">
        <f t="shared" si="18"/>
        <v>0</v>
      </c>
      <c r="AC50" s="13">
        <f t="shared" si="19"/>
        <v>0</v>
      </c>
      <c r="AD50" s="13">
        <f t="shared" si="20"/>
        <v>0</v>
      </c>
      <c r="AE50" s="13">
        <f t="shared" si="21"/>
        <v>0</v>
      </c>
      <c r="AF50" s="13">
        <f t="shared" si="22"/>
        <v>0</v>
      </c>
      <c r="AG50" s="13">
        <f t="shared" si="23"/>
        <v>0</v>
      </c>
      <c r="AH50" s="13">
        <f t="shared" si="24"/>
        <v>0</v>
      </c>
      <c r="AI50" s="13">
        <f t="shared" si="25"/>
        <v>0</v>
      </c>
      <c r="AJ50" s="13">
        <f t="shared" si="26"/>
        <v>0</v>
      </c>
      <c r="AK50" s="13">
        <f t="shared" si="27"/>
        <v>0</v>
      </c>
      <c r="AM50" s="14">
        <f t="shared" si="29"/>
        <v>0</v>
      </c>
      <c r="AN50" s="14">
        <f t="shared" si="28"/>
        <v>0</v>
      </c>
      <c r="AO50" s="14">
        <f t="shared" si="28"/>
        <v>0</v>
      </c>
      <c r="AP50" s="14">
        <f t="shared" si="28"/>
        <v>0</v>
      </c>
      <c r="AQ50" s="14">
        <f t="shared" si="28"/>
        <v>0</v>
      </c>
      <c r="AR50" s="14">
        <f t="shared" si="28"/>
        <v>0</v>
      </c>
      <c r="AS50" s="14">
        <f t="shared" si="28"/>
        <v>0</v>
      </c>
      <c r="AT50" s="14">
        <f t="shared" si="28"/>
        <v>0</v>
      </c>
      <c r="AU50" s="14">
        <f t="shared" si="28"/>
        <v>0</v>
      </c>
      <c r="AV50" s="14">
        <f t="shared" si="28"/>
        <v>0</v>
      </c>
      <c r="AW50" s="14">
        <f t="shared" si="28"/>
        <v>0</v>
      </c>
      <c r="AX50" s="14">
        <f t="shared" si="28"/>
        <v>0</v>
      </c>
    </row>
    <row r="51" spans="3:50">
      <c r="C51" s="12"/>
      <c r="D51" s="13"/>
      <c r="E51" s="13"/>
      <c r="F51" s="13"/>
      <c r="G51" s="13"/>
      <c r="H51" s="13"/>
      <c r="I51" s="13"/>
      <c r="J51" s="13"/>
      <c r="K51" s="13"/>
      <c r="L51" s="13"/>
      <c r="M51" s="13"/>
      <c r="N51" s="13"/>
      <c r="O51" s="13"/>
      <c r="P51" s="13"/>
      <c r="Q51" s="13"/>
      <c r="R51" s="13"/>
      <c r="S51" s="13"/>
      <c r="T51" s="13"/>
      <c r="U51" s="13"/>
      <c r="V51" s="13"/>
      <c r="W51" s="13"/>
      <c r="X51" s="13"/>
      <c r="Z51" s="13">
        <f t="shared" si="16"/>
        <v>0</v>
      </c>
      <c r="AA51" s="13">
        <f t="shared" si="17"/>
        <v>0</v>
      </c>
      <c r="AB51" s="13">
        <f t="shared" si="18"/>
        <v>0</v>
      </c>
      <c r="AC51" s="13">
        <f t="shared" si="19"/>
        <v>0</v>
      </c>
      <c r="AD51" s="13">
        <f t="shared" si="20"/>
        <v>0</v>
      </c>
      <c r="AE51" s="13">
        <f t="shared" si="21"/>
        <v>0</v>
      </c>
      <c r="AF51" s="13">
        <f t="shared" si="22"/>
        <v>0</v>
      </c>
      <c r="AG51" s="13">
        <f t="shared" si="23"/>
        <v>0</v>
      </c>
      <c r="AH51" s="13">
        <f t="shared" si="24"/>
        <v>0</v>
      </c>
      <c r="AI51" s="13">
        <f t="shared" si="25"/>
        <v>0</v>
      </c>
      <c r="AJ51" s="13">
        <f t="shared" si="26"/>
        <v>0</v>
      </c>
      <c r="AK51" s="13">
        <f t="shared" si="27"/>
        <v>0</v>
      </c>
      <c r="AM51" s="14">
        <f t="shared" si="29"/>
        <v>0</v>
      </c>
      <c r="AN51" s="14">
        <f t="shared" si="28"/>
        <v>0</v>
      </c>
      <c r="AO51" s="14">
        <f t="shared" si="28"/>
        <v>0</v>
      </c>
      <c r="AP51" s="14">
        <f t="shared" si="28"/>
        <v>0</v>
      </c>
      <c r="AQ51" s="14">
        <f t="shared" si="28"/>
        <v>0</v>
      </c>
      <c r="AR51" s="14">
        <f t="shared" si="28"/>
        <v>0</v>
      </c>
      <c r="AS51" s="14">
        <f t="shared" si="28"/>
        <v>0</v>
      </c>
      <c r="AT51" s="14">
        <f t="shared" si="28"/>
        <v>0</v>
      </c>
      <c r="AU51" s="14">
        <f t="shared" si="28"/>
        <v>0</v>
      </c>
      <c r="AV51" s="14">
        <f t="shared" si="28"/>
        <v>0</v>
      </c>
      <c r="AW51" s="14">
        <f t="shared" si="28"/>
        <v>0</v>
      </c>
      <c r="AX51" s="14">
        <f t="shared" si="28"/>
        <v>0</v>
      </c>
    </row>
    <row r="52" spans="3:50">
      <c r="C52" s="12"/>
      <c r="D52" s="13"/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3"/>
      <c r="X52" s="13"/>
      <c r="Z52" s="13">
        <f t="shared" si="16"/>
        <v>0</v>
      </c>
      <c r="AA52" s="13">
        <f t="shared" si="17"/>
        <v>0</v>
      </c>
      <c r="AB52" s="13">
        <f t="shared" si="18"/>
        <v>0</v>
      </c>
      <c r="AC52" s="13">
        <f t="shared" si="19"/>
        <v>0</v>
      </c>
      <c r="AD52" s="13">
        <f t="shared" si="20"/>
        <v>0</v>
      </c>
      <c r="AE52" s="13">
        <f t="shared" si="21"/>
        <v>0</v>
      </c>
      <c r="AF52" s="13">
        <f t="shared" si="22"/>
        <v>0</v>
      </c>
      <c r="AG52" s="13">
        <f t="shared" si="23"/>
        <v>0</v>
      </c>
      <c r="AH52" s="13">
        <f t="shared" si="24"/>
        <v>0</v>
      </c>
      <c r="AI52" s="13">
        <f t="shared" si="25"/>
        <v>0</v>
      </c>
      <c r="AJ52" s="13">
        <f t="shared" si="26"/>
        <v>0</v>
      </c>
      <c r="AK52" s="13">
        <f t="shared" si="27"/>
        <v>0</v>
      </c>
      <c r="AM52" s="14">
        <f t="shared" si="29"/>
        <v>0</v>
      </c>
      <c r="AN52" s="14">
        <f t="shared" si="28"/>
        <v>0</v>
      </c>
      <c r="AO52" s="14">
        <f t="shared" si="28"/>
        <v>0</v>
      </c>
      <c r="AP52" s="14">
        <f t="shared" si="28"/>
        <v>0</v>
      </c>
      <c r="AQ52" s="14">
        <f t="shared" si="28"/>
        <v>0</v>
      </c>
      <c r="AR52" s="14">
        <f t="shared" si="28"/>
        <v>0</v>
      </c>
      <c r="AS52" s="14">
        <f t="shared" si="28"/>
        <v>0</v>
      </c>
      <c r="AT52" s="14">
        <f t="shared" si="28"/>
        <v>0</v>
      </c>
      <c r="AU52" s="14">
        <f t="shared" si="28"/>
        <v>0</v>
      </c>
      <c r="AV52" s="14">
        <f t="shared" si="28"/>
        <v>0</v>
      </c>
      <c r="AW52" s="14">
        <f t="shared" si="28"/>
        <v>0</v>
      </c>
      <c r="AX52" s="14">
        <f t="shared" si="28"/>
        <v>0</v>
      </c>
    </row>
    <row r="53" spans="3:50">
      <c r="C53" s="12"/>
      <c r="D53" s="13"/>
      <c r="E53" s="13"/>
      <c r="F53" s="13"/>
      <c r="G53" s="13"/>
      <c r="H53" s="13"/>
      <c r="I53" s="13"/>
      <c r="J53" s="13"/>
      <c r="K53" s="13"/>
      <c r="L53" s="13"/>
      <c r="M53" s="13"/>
      <c r="N53" s="13"/>
      <c r="O53" s="13"/>
      <c r="P53" s="13"/>
      <c r="Q53" s="13"/>
      <c r="R53" s="13"/>
      <c r="S53" s="13"/>
      <c r="T53" s="13"/>
      <c r="U53" s="13"/>
      <c r="V53" s="13"/>
      <c r="W53" s="13"/>
      <c r="X53" s="13"/>
      <c r="Z53" s="13">
        <f t="shared" si="16"/>
        <v>0</v>
      </c>
      <c r="AA53" s="13">
        <f t="shared" si="17"/>
        <v>0</v>
      </c>
      <c r="AB53" s="13">
        <f t="shared" si="18"/>
        <v>0</v>
      </c>
      <c r="AC53" s="13">
        <f t="shared" si="19"/>
        <v>0</v>
      </c>
      <c r="AD53" s="13">
        <f t="shared" si="20"/>
        <v>0</v>
      </c>
      <c r="AE53" s="13">
        <f t="shared" si="21"/>
        <v>0</v>
      </c>
      <c r="AF53" s="13">
        <f t="shared" si="22"/>
        <v>0</v>
      </c>
      <c r="AG53" s="13">
        <f t="shared" si="23"/>
        <v>0</v>
      </c>
      <c r="AH53" s="13">
        <f t="shared" si="24"/>
        <v>0</v>
      </c>
      <c r="AI53" s="13">
        <f t="shared" si="25"/>
        <v>0</v>
      </c>
      <c r="AJ53" s="13">
        <f t="shared" si="26"/>
        <v>0</v>
      </c>
      <c r="AK53" s="13">
        <f t="shared" si="27"/>
        <v>0</v>
      </c>
      <c r="AM53" s="14">
        <f t="shared" si="29"/>
        <v>0</v>
      </c>
      <c r="AN53" s="14">
        <f t="shared" si="28"/>
        <v>0</v>
      </c>
      <c r="AO53" s="14">
        <f t="shared" si="28"/>
        <v>0</v>
      </c>
      <c r="AP53" s="14">
        <f t="shared" si="28"/>
        <v>0</v>
      </c>
      <c r="AQ53" s="14">
        <f t="shared" si="28"/>
        <v>0</v>
      </c>
      <c r="AR53" s="14">
        <f t="shared" si="28"/>
        <v>0</v>
      </c>
      <c r="AS53" s="14">
        <f t="shared" si="28"/>
        <v>0</v>
      </c>
      <c r="AT53" s="14">
        <f t="shared" si="28"/>
        <v>0</v>
      </c>
      <c r="AU53" s="14">
        <f t="shared" si="28"/>
        <v>0</v>
      </c>
      <c r="AV53" s="14">
        <f t="shared" si="28"/>
        <v>0</v>
      </c>
      <c r="AW53" s="14">
        <f t="shared" si="28"/>
        <v>0</v>
      </c>
      <c r="AX53" s="14">
        <f t="shared" si="28"/>
        <v>0</v>
      </c>
    </row>
    <row r="54" spans="3:50">
      <c r="C54" s="12"/>
      <c r="D54" s="13"/>
      <c r="E54" s="13"/>
      <c r="F54" s="13"/>
      <c r="G54" s="13"/>
      <c r="H54" s="13"/>
      <c r="I54" s="13"/>
      <c r="J54" s="13"/>
      <c r="K54" s="13"/>
      <c r="L54" s="13"/>
      <c r="M54" s="13"/>
      <c r="N54" s="13"/>
      <c r="O54" s="13"/>
      <c r="P54" s="13"/>
      <c r="Q54" s="13"/>
      <c r="R54" s="13"/>
      <c r="S54" s="13"/>
      <c r="T54" s="13"/>
      <c r="U54" s="13"/>
      <c r="V54" s="13"/>
      <c r="W54" s="13"/>
      <c r="X54" s="13"/>
      <c r="Z54" s="13">
        <f t="shared" si="16"/>
        <v>0</v>
      </c>
      <c r="AA54" s="13">
        <f t="shared" si="17"/>
        <v>0</v>
      </c>
      <c r="AB54" s="13">
        <f t="shared" si="18"/>
        <v>0</v>
      </c>
      <c r="AC54" s="13">
        <f t="shared" si="19"/>
        <v>0</v>
      </c>
      <c r="AD54" s="13">
        <f t="shared" si="20"/>
        <v>0</v>
      </c>
      <c r="AE54" s="13">
        <f t="shared" si="21"/>
        <v>0</v>
      </c>
      <c r="AF54" s="13">
        <f t="shared" si="22"/>
        <v>0</v>
      </c>
      <c r="AG54" s="13">
        <f t="shared" si="23"/>
        <v>0</v>
      </c>
      <c r="AH54" s="13">
        <f t="shared" si="24"/>
        <v>0</v>
      </c>
      <c r="AI54" s="13">
        <f t="shared" si="25"/>
        <v>0</v>
      </c>
      <c r="AJ54" s="13">
        <f t="shared" si="26"/>
        <v>0</v>
      </c>
      <c r="AK54" s="13">
        <f t="shared" si="27"/>
        <v>0</v>
      </c>
      <c r="AM54" s="14">
        <f t="shared" si="29"/>
        <v>0</v>
      </c>
      <c r="AN54" s="14">
        <f t="shared" si="28"/>
        <v>0</v>
      </c>
      <c r="AO54" s="14">
        <f t="shared" si="28"/>
        <v>0</v>
      </c>
      <c r="AP54" s="14">
        <f t="shared" si="28"/>
        <v>0</v>
      </c>
      <c r="AQ54" s="14">
        <f t="shared" si="28"/>
        <v>0</v>
      </c>
      <c r="AR54" s="14">
        <f t="shared" si="28"/>
        <v>0</v>
      </c>
      <c r="AS54" s="14">
        <f t="shared" si="28"/>
        <v>0</v>
      </c>
      <c r="AT54" s="14">
        <f t="shared" si="28"/>
        <v>0</v>
      </c>
      <c r="AU54" s="14">
        <f t="shared" si="28"/>
        <v>0</v>
      </c>
      <c r="AV54" s="14">
        <f t="shared" si="28"/>
        <v>0</v>
      </c>
      <c r="AW54" s="14">
        <f t="shared" si="28"/>
        <v>0</v>
      </c>
      <c r="AX54" s="14">
        <f t="shared" si="28"/>
        <v>0</v>
      </c>
    </row>
    <row r="55" spans="3:50">
      <c r="C55" s="12"/>
      <c r="D55" s="13"/>
      <c r="E55" s="13"/>
      <c r="F55" s="13"/>
      <c r="G55" s="13"/>
      <c r="H55" s="13"/>
      <c r="I55" s="13"/>
      <c r="J55" s="13"/>
      <c r="K55" s="13"/>
      <c r="L55" s="13"/>
      <c r="M55" s="13"/>
      <c r="N55" s="13"/>
      <c r="O55" s="13"/>
      <c r="P55" s="13"/>
      <c r="Q55" s="13"/>
      <c r="R55" s="13"/>
      <c r="S55" s="13"/>
      <c r="T55" s="13"/>
      <c r="U55" s="13"/>
      <c r="V55" s="13"/>
      <c r="W55" s="13"/>
      <c r="X55" s="13"/>
      <c r="Z55" s="13">
        <f t="shared" si="16"/>
        <v>0</v>
      </c>
      <c r="AA55" s="13">
        <f t="shared" si="17"/>
        <v>0</v>
      </c>
      <c r="AB55" s="13">
        <f t="shared" si="18"/>
        <v>0</v>
      </c>
      <c r="AC55" s="13">
        <f t="shared" si="19"/>
        <v>0</v>
      </c>
      <c r="AD55" s="13">
        <f t="shared" si="20"/>
        <v>0</v>
      </c>
      <c r="AE55" s="13">
        <f t="shared" si="21"/>
        <v>0</v>
      </c>
      <c r="AF55" s="13">
        <f t="shared" si="22"/>
        <v>0</v>
      </c>
      <c r="AG55" s="13">
        <f t="shared" si="23"/>
        <v>0</v>
      </c>
      <c r="AH55" s="13">
        <f t="shared" si="24"/>
        <v>0</v>
      </c>
      <c r="AI55" s="13">
        <f t="shared" si="25"/>
        <v>0</v>
      </c>
      <c r="AJ55" s="13">
        <f t="shared" si="26"/>
        <v>0</v>
      </c>
      <c r="AK55" s="13">
        <f t="shared" si="27"/>
        <v>0</v>
      </c>
      <c r="AM55" s="14">
        <f t="shared" si="29"/>
        <v>0</v>
      </c>
      <c r="AN55" s="14">
        <f t="shared" si="28"/>
        <v>0</v>
      </c>
      <c r="AO55" s="14">
        <f t="shared" si="28"/>
        <v>0</v>
      </c>
      <c r="AP55" s="14">
        <f t="shared" si="28"/>
        <v>0</v>
      </c>
      <c r="AQ55" s="14">
        <f t="shared" si="28"/>
        <v>0</v>
      </c>
      <c r="AR55" s="14">
        <f t="shared" si="28"/>
        <v>0</v>
      </c>
      <c r="AS55" s="14">
        <f t="shared" si="28"/>
        <v>0</v>
      </c>
      <c r="AT55" s="14">
        <f t="shared" si="28"/>
        <v>0</v>
      </c>
      <c r="AU55" s="14">
        <f t="shared" si="28"/>
        <v>0</v>
      </c>
      <c r="AV55" s="14">
        <f t="shared" si="28"/>
        <v>0</v>
      </c>
      <c r="AW55" s="14">
        <f t="shared" si="28"/>
        <v>0</v>
      </c>
      <c r="AX55" s="14">
        <f t="shared" si="28"/>
        <v>0</v>
      </c>
    </row>
    <row r="56" spans="3:50">
      <c r="C56" s="12"/>
      <c r="D56" s="13"/>
      <c r="E56" s="13"/>
      <c r="F56" s="13"/>
      <c r="G56" s="13"/>
      <c r="H56" s="13"/>
      <c r="I56" s="13"/>
      <c r="J56" s="13"/>
      <c r="K56" s="13"/>
      <c r="L56" s="13"/>
      <c r="M56" s="13"/>
      <c r="N56" s="13"/>
      <c r="O56" s="13"/>
      <c r="P56" s="13"/>
      <c r="Q56" s="13"/>
      <c r="R56" s="13"/>
      <c r="S56" s="13"/>
      <c r="T56" s="13"/>
      <c r="U56" s="13"/>
      <c r="V56" s="13"/>
      <c r="W56" s="13"/>
      <c r="X56" s="13"/>
      <c r="Z56" s="13">
        <f t="shared" si="16"/>
        <v>0</v>
      </c>
      <c r="AA56" s="13">
        <f t="shared" si="17"/>
        <v>0</v>
      </c>
      <c r="AB56" s="13">
        <f t="shared" si="18"/>
        <v>0</v>
      </c>
      <c r="AC56" s="13">
        <f t="shared" si="19"/>
        <v>0</v>
      </c>
      <c r="AD56" s="13">
        <f t="shared" si="20"/>
        <v>0</v>
      </c>
      <c r="AE56" s="13">
        <f t="shared" si="21"/>
        <v>0</v>
      </c>
      <c r="AF56" s="13">
        <f t="shared" si="22"/>
        <v>0</v>
      </c>
      <c r="AG56" s="13">
        <f t="shared" si="23"/>
        <v>0</v>
      </c>
      <c r="AH56" s="13">
        <f t="shared" si="24"/>
        <v>0</v>
      </c>
      <c r="AI56" s="13">
        <f t="shared" si="25"/>
        <v>0</v>
      </c>
      <c r="AJ56" s="13">
        <f t="shared" si="26"/>
        <v>0</v>
      </c>
      <c r="AK56" s="13">
        <f t="shared" si="27"/>
        <v>0</v>
      </c>
      <c r="AM56" s="14">
        <f t="shared" si="29"/>
        <v>0</v>
      </c>
      <c r="AN56" s="14">
        <f t="shared" si="28"/>
        <v>0</v>
      </c>
      <c r="AO56" s="14">
        <f t="shared" si="28"/>
        <v>0</v>
      </c>
      <c r="AP56" s="14">
        <f t="shared" si="28"/>
        <v>0</v>
      </c>
      <c r="AQ56" s="14">
        <f t="shared" si="28"/>
        <v>0</v>
      </c>
      <c r="AR56" s="14">
        <f t="shared" si="28"/>
        <v>0</v>
      </c>
      <c r="AS56" s="14">
        <f t="shared" si="28"/>
        <v>0</v>
      </c>
      <c r="AT56" s="14">
        <f t="shared" si="28"/>
        <v>0</v>
      </c>
      <c r="AU56" s="14">
        <f t="shared" si="28"/>
        <v>0</v>
      </c>
      <c r="AV56" s="14">
        <f t="shared" si="28"/>
        <v>0</v>
      </c>
      <c r="AW56" s="14">
        <f t="shared" si="28"/>
        <v>0</v>
      </c>
      <c r="AX56" s="14">
        <f t="shared" si="28"/>
        <v>0</v>
      </c>
    </row>
    <row r="57" spans="3:50">
      <c r="C57" s="12"/>
      <c r="D57" s="13"/>
      <c r="E57" s="13"/>
      <c r="F57" s="13"/>
      <c r="G57" s="13"/>
      <c r="H57" s="13"/>
      <c r="I57" s="13"/>
      <c r="J57" s="13"/>
      <c r="K57" s="13"/>
      <c r="L57" s="13"/>
      <c r="M57" s="13"/>
      <c r="N57" s="13"/>
      <c r="O57" s="13"/>
      <c r="P57" s="13"/>
      <c r="Q57" s="13"/>
      <c r="R57" s="13"/>
      <c r="S57" s="13"/>
      <c r="T57" s="13"/>
      <c r="U57" s="13"/>
      <c r="V57" s="13"/>
      <c r="W57" s="13"/>
      <c r="X57" s="13"/>
      <c r="Z57" s="13">
        <f t="shared" si="16"/>
        <v>0</v>
      </c>
      <c r="AA57" s="13">
        <f t="shared" si="17"/>
        <v>0</v>
      </c>
      <c r="AB57" s="13">
        <f t="shared" si="18"/>
        <v>0</v>
      </c>
      <c r="AC57" s="13">
        <f t="shared" si="19"/>
        <v>0</v>
      </c>
      <c r="AD57" s="13">
        <f t="shared" si="20"/>
        <v>0</v>
      </c>
      <c r="AE57" s="13">
        <f t="shared" si="21"/>
        <v>0</v>
      </c>
      <c r="AF57" s="13">
        <f t="shared" si="22"/>
        <v>0</v>
      </c>
      <c r="AG57" s="13">
        <f t="shared" si="23"/>
        <v>0</v>
      </c>
      <c r="AH57" s="13">
        <f t="shared" si="24"/>
        <v>0</v>
      </c>
      <c r="AI57" s="13">
        <f t="shared" si="25"/>
        <v>0</v>
      </c>
      <c r="AJ57" s="13">
        <f t="shared" si="26"/>
        <v>0</v>
      </c>
      <c r="AK57" s="13">
        <f t="shared" si="27"/>
        <v>0</v>
      </c>
      <c r="AM57" s="14">
        <f t="shared" si="29"/>
        <v>0</v>
      </c>
      <c r="AN57" s="14">
        <f t="shared" si="28"/>
        <v>0</v>
      </c>
      <c r="AO57" s="14">
        <f t="shared" si="28"/>
        <v>0</v>
      </c>
      <c r="AP57" s="14">
        <f t="shared" si="28"/>
        <v>0</v>
      </c>
      <c r="AQ57" s="14">
        <f t="shared" si="28"/>
        <v>0</v>
      </c>
      <c r="AR57" s="14">
        <f t="shared" si="28"/>
        <v>0</v>
      </c>
      <c r="AS57" s="14">
        <f t="shared" si="28"/>
        <v>0</v>
      </c>
      <c r="AT57" s="14">
        <f t="shared" si="28"/>
        <v>0</v>
      </c>
      <c r="AU57" s="14">
        <f t="shared" si="28"/>
        <v>0</v>
      </c>
      <c r="AV57" s="14">
        <f t="shared" si="28"/>
        <v>0</v>
      </c>
      <c r="AW57" s="14">
        <f t="shared" si="28"/>
        <v>0</v>
      </c>
      <c r="AX57" s="14">
        <f t="shared" si="28"/>
        <v>0</v>
      </c>
    </row>
    <row r="58" spans="3:50">
      <c r="C58" s="12"/>
      <c r="D58" s="13"/>
      <c r="E58" s="13"/>
      <c r="F58" s="13"/>
      <c r="G58" s="13"/>
      <c r="H58" s="13"/>
      <c r="I58" s="13"/>
      <c r="J58" s="13"/>
      <c r="K58" s="13"/>
      <c r="L58" s="13"/>
      <c r="M58" s="13"/>
      <c r="N58" s="13"/>
      <c r="O58" s="13"/>
      <c r="P58" s="13"/>
      <c r="Q58" s="13"/>
      <c r="R58" s="13"/>
      <c r="S58" s="13"/>
      <c r="T58" s="13"/>
      <c r="U58" s="13"/>
      <c r="V58" s="13"/>
      <c r="W58" s="13"/>
      <c r="X58" s="13"/>
      <c r="Z58" s="13">
        <f t="shared" si="16"/>
        <v>0</v>
      </c>
      <c r="AA58" s="13">
        <f t="shared" si="17"/>
        <v>0</v>
      </c>
      <c r="AB58" s="13">
        <f t="shared" si="18"/>
        <v>0</v>
      </c>
      <c r="AC58" s="13">
        <f t="shared" si="19"/>
        <v>0</v>
      </c>
      <c r="AD58" s="13">
        <f t="shared" si="20"/>
        <v>0</v>
      </c>
      <c r="AE58" s="13">
        <f t="shared" si="21"/>
        <v>0</v>
      </c>
      <c r="AF58" s="13">
        <f t="shared" si="22"/>
        <v>0</v>
      </c>
      <c r="AG58" s="13">
        <f t="shared" si="23"/>
        <v>0</v>
      </c>
      <c r="AH58" s="13">
        <f t="shared" si="24"/>
        <v>0</v>
      </c>
      <c r="AI58" s="13">
        <f t="shared" si="25"/>
        <v>0</v>
      </c>
      <c r="AJ58" s="13">
        <f t="shared" si="26"/>
        <v>0</v>
      </c>
      <c r="AK58" s="13">
        <f t="shared" si="27"/>
        <v>0</v>
      </c>
      <c r="AM58" s="14">
        <f t="shared" si="29"/>
        <v>0</v>
      </c>
      <c r="AN58" s="14">
        <f t="shared" si="28"/>
        <v>0</v>
      </c>
      <c r="AO58" s="14">
        <f t="shared" si="28"/>
        <v>0</v>
      </c>
      <c r="AP58" s="14">
        <f t="shared" si="28"/>
        <v>0</v>
      </c>
      <c r="AQ58" s="14">
        <f t="shared" si="28"/>
        <v>0</v>
      </c>
      <c r="AR58" s="14">
        <f t="shared" si="28"/>
        <v>0</v>
      </c>
      <c r="AS58" s="14">
        <f t="shared" si="28"/>
        <v>0</v>
      </c>
      <c r="AT58" s="14">
        <f t="shared" si="28"/>
        <v>0</v>
      </c>
      <c r="AU58" s="14">
        <f t="shared" si="28"/>
        <v>0</v>
      </c>
      <c r="AV58" s="14">
        <f t="shared" si="28"/>
        <v>0</v>
      </c>
      <c r="AW58" s="14">
        <f t="shared" si="28"/>
        <v>0</v>
      </c>
      <c r="AX58" s="14">
        <f t="shared" si="28"/>
        <v>0</v>
      </c>
    </row>
    <row r="59" spans="3:50">
      <c r="C59" s="12"/>
      <c r="D59" s="13"/>
      <c r="E59" s="13"/>
      <c r="F59" s="13"/>
      <c r="G59" s="13"/>
      <c r="H59" s="13"/>
      <c r="I59" s="13"/>
      <c r="J59" s="13"/>
      <c r="K59" s="13"/>
      <c r="L59" s="13"/>
      <c r="M59" s="13"/>
      <c r="N59" s="13"/>
      <c r="O59" s="13"/>
      <c r="P59" s="13"/>
      <c r="Q59" s="13"/>
      <c r="R59" s="13"/>
      <c r="S59" s="13"/>
      <c r="T59" s="13"/>
      <c r="U59" s="13"/>
      <c r="V59" s="13"/>
      <c r="W59" s="13"/>
      <c r="X59" s="13"/>
      <c r="Z59" s="13">
        <f t="shared" si="16"/>
        <v>0</v>
      </c>
      <c r="AA59" s="13">
        <f t="shared" si="17"/>
        <v>0</v>
      </c>
      <c r="AB59" s="13">
        <f t="shared" si="18"/>
        <v>0</v>
      </c>
      <c r="AC59" s="13">
        <f t="shared" si="19"/>
        <v>0</v>
      </c>
      <c r="AD59" s="13">
        <f t="shared" si="20"/>
        <v>0</v>
      </c>
      <c r="AE59" s="13">
        <f t="shared" si="21"/>
        <v>0</v>
      </c>
      <c r="AF59" s="13">
        <f t="shared" si="22"/>
        <v>0</v>
      </c>
      <c r="AG59" s="13">
        <f t="shared" si="23"/>
        <v>0</v>
      </c>
      <c r="AH59" s="13">
        <f t="shared" si="24"/>
        <v>0</v>
      </c>
      <c r="AI59" s="13">
        <f t="shared" si="25"/>
        <v>0</v>
      </c>
      <c r="AJ59" s="13">
        <f t="shared" si="26"/>
        <v>0</v>
      </c>
      <c r="AK59" s="13">
        <f t="shared" si="27"/>
        <v>0</v>
      </c>
      <c r="AM59" s="14">
        <f t="shared" si="29"/>
        <v>0</v>
      </c>
      <c r="AN59" s="14">
        <f t="shared" si="28"/>
        <v>0</v>
      </c>
      <c r="AO59" s="14">
        <f t="shared" si="28"/>
        <v>0</v>
      </c>
      <c r="AP59" s="14">
        <f t="shared" si="28"/>
        <v>0</v>
      </c>
      <c r="AQ59" s="14">
        <f t="shared" si="28"/>
        <v>0</v>
      </c>
      <c r="AR59" s="14">
        <f t="shared" si="28"/>
        <v>0</v>
      </c>
      <c r="AS59" s="14">
        <f t="shared" si="28"/>
        <v>0</v>
      </c>
      <c r="AT59" s="14">
        <f t="shared" si="28"/>
        <v>0</v>
      </c>
      <c r="AU59" s="14">
        <f t="shared" si="28"/>
        <v>0</v>
      </c>
      <c r="AV59" s="14">
        <f t="shared" si="28"/>
        <v>0</v>
      </c>
      <c r="AW59" s="14">
        <f t="shared" si="28"/>
        <v>0</v>
      </c>
      <c r="AX59" s="14">
        <f t="shared" si="28"/>
        <v>0</v>
      </c>
    </row>
    <row r="60" spans="3:50">
      <c r="C60" s="12"/>
      <c r="D60" s="13"/>
      <c r="E60" s="13"/>
      <c r="F60" s="13"/>
      <c r="G60" s="13"/>
      <c r="H60" s="13"/>
      <c r="I60" s="13"/>
      <c r="J60" s="13"/>
      <c r="K60" s="13"/>
      <c r="L60" s="13"/>
      <c r="M60" s="13"/>
      <c r="N60" s="13"/>
      <c r="O60" s="13"/>
      <c r="P60" s="13"/>
      <c r="Q60" s="13"/>
      <c r="R60" s="13"/>
      <c r="S60" s="13"/>
      <c r="T60" s="13"/>
      <c r="U60" s="13"/>
      <c r="V60" s="13"/>
      <c r="W60" s="13"/>
      <c r="X60" s="13"/>
      <c r="Z60" s="13">
        <f t="shared" si="16"/>
        <v>0</v>
      </c>
      <c r="AA60" s="13">
        <f t="shared" si="17"/>
        <v>0</v>
      </c>
      <c r="AB60" s="13">
        <f t="shared" si="18"/>
        <v>0</v>
      </c>
      <c r="AC60" s="13">
        <f t="shared" si="19"/>
        <v>0</v>
      </c>
      <c r="AD60" s="13">
        <f t="shared" si="20"/>
        <v>0</v>
      </c>
      <c r="AE60" s="13">
        <f t="shared" si="21"/>
        <v>0</v>
      </c>
      <c r="AF60" s="13">
        <f t="shared" si="22"/>
        <v>0</v>
      </c>
      <c r="AG60" s="13">
        <f t="shared" si="23"/>
        <v>0</v>
      </c>
      <c r="AH60" s="13">
        <f t="shared" si="24"/>
        <v>0</v>
      </c>
      <c r="AI60" s="13">
        <f t="shared" si="25"/>
        <v>0</v>
      </c>
      <c r="AJ60" s="13">
        <f t="shared" si="26"/>
        <v>0</v>
      </c>
      <c r="AK60" s="13">
        <f t="shared" si="27"/>
        <v>0</v>
      </c>
      <c r="AM60" s="14">
        <f t="shared" si="29"/>
        <v>0</v>
      </c>
      <c r="AN60" s="14">
        <f t="shared" si="28"/>
        <v>0</v>
      </c>
      <c r="AO60" s="14">
        <f t="shared" si="28"/>
        <v>0</v>
      </c>
      <c r="AP60" s="14">
        <f t="shared" si="28"/>
        <v>0</v>
      </c>
      <c r="AQ60" s="14">
        <f t="shared" si="28"/>
        <v>0</v>
      </c>
      <c r="AR60" s="14">
        <f t="shared" si="28"/>
        <v>0</v>
      </c>
      <c r="AS60" s="14">
        <f t="shared" si="28"/>
        <v>0</v>
      </c>
      <c r="AT60" s="14">
        <f t="shared" si="28"/>
        <v>0</v>
      </c>
      <c r="AU60" s="14">
        <f t="shared" si="28"/>
        <v>0</v>
      </c>
      <c r="AV60" s="14">
        <f t="shared" si="28"/>
        <v>0</v>
      </c>
      <c r="AW60" s="14">
        <f t="shared" si="28"/>
        <v>0</v>
      </c>
      <c r="AX60" s="14">
        <f t="shared" si="28"/>
        <v>0</v>
      </c>
    </row>
    <row r="61" spans="3:50">
      <c r="C61" s="12"/>
      <c r="D61" s="13"/>
      <c r="E61" s="13"/>
      <c r="F61" s="13"/>
      <c r="G61" s="13"/>
      <c r="H61" s="13"/>
      <c r="I61" s="13"/>
      <c r="J61" s="13"/>
      <c r="K61" s="13"/>
      <c r="L61" s="13"/>
      <c r="M61" s="13"/>
      <c r="N61" s="13"/>
      <c r="O61" s="13"/>
      <c r="P61" s="13"/>
      <c r="Q61" s="13"/>
      <c r="R61" s="13"/>
      <c r="S61" s="13"/>
      <c r="T61" s="13"/>
      <c r="U61" s="13"/>
      <c r="V61" s="13"/>
      <c r="W61" s="13"/>
      <c r="X61" s="13"/>
      <c r="Z61" s="13">
        <f t="shared" si="16"/>
        <v>0</v>
      </c>
      <c r="AA61" s="13">
        <f t="shared" si="17"/>
        <v>0</v>
      </c>
      <c r="AB61" s="13">
        <f t="shared" si="18"/>
        <v>0</v>
      </c>
      <c r="AC61" s="13">
        <f t="shared" si="19"/>
        <v>0</v>
      </c>
      <c r="AD61" s="13">
        <f t="shared" si="20"/>
        <v>0</v>
      </c>
      <c r="AE61" s="13">
        <f t="shared" si="21"/>
        <v>0</v>
      </c>
      <c r="AF61" s="13">
        <f t="shared" si="22"/>
        <v>0</v>
      </c>
      <c r="AG61" s="13">
        <f t="shared" si="23"/>
        <v>0</v>
      </c>
      <c r="AH61" s="13">
        <f t="shared" si="24"/>
        <v>0</v>
      </c>
      <c r="AI61" s="13">
        <f t="shared" si="25"/>
        <v>0</v>
      </c>
      <c r="AJ61" s="13">
        <f t="shared" si="26"/>
        <v>0</v>
      </c>
      <c r="AK61" s="13">
        <f t="shared" si="27"/>
        <v>0</v>
      </c>
      <c r="AM61" s="14">
        <f t="shared" si="29"/>
        <v>0</v>
      </c>
      <c r="AN61" s="14">
        <f t="shared" si="28"/>
        <v>0</v>
      </c>
      <c r="AO61" s="14">
        <f t="shared" si="28"/>
        <v>0</v>
      </c>
      <c r="AP61" s="14">
        <f t="shared" si="28"/>
        <v>0</v>
      </c>
      <c r="AQ61" s="14">
        <f t="shared" si="28"/>
        <v>0</v>
      </c>
      <c r="AR61" s="14">
        <f t="shared" si="28"/>
        <v>0</v>
      </c>
      <c r="AS61" s="14">
        <f t="shared" si="28"/>
        <v>0</v>
      </c>
      <c r="AT61" s="14">
        <f t="shared" si="28"/>
        <v>0</v>
      </c>
      <c r="AU61" s="14">
        <f t="shared" si="28"/>
        <v>0</v>
      </c>
      <c r="AV61" s="14">
        <f t="shared" si="28"/>
        <v>0</v>
      </c>
      <c r="AW61" s="14">
        <f t="shared" si="28"/>
        <v>0</v>
      </c>
      <c r="AX61" s="14">
        <f t="shared" si="28"/>
        <v>0</v>
      </c>
    </row>
    <row r="62" spans="3:50">
      <c r="C62" s="12"/>
      <c r="D62" s="13"/>
      <c r="E62" s="13"/>
      <c r="F62" s="13"/>
      <c r="G62" s="13"/>
      <c r="H62" s="13"/>
      <c r="I62" s="13"/>
      <c r="J62" s="13"/>
      <c r="K62" s="13"/>
      <c r="L62" s="13"/>
      <c r="M62" s="13"/>
      <c r="N62" s="13"/>
      <c r="O62" s="13"/>
      <c r="P62" s="13"/>
      <c r="Q62" s="13"/>
      <c r="R62" s="13"/>
      <c r="S62" s="13"/>
      <c r="T62" s="13"/>
      <c r="U62" s="13"/>
      <c r="V62" s="13"/>
      <c r="W62" s="13"/>
      <c r="X62" s="13"/>
      <c r="Z62" s="13">
        <f t="shared" si="16"/>
        <v>0</v>
      </c>
      <c r="AA62" s="13">
        <f t="shared" si="17"/>
        <v>0</v>
      </c>
      <c r="AB62" s="13">
        <f t="shared" si="18"/>
        <v>0</v>
      </c>
      <c r="AC62" s="13">
        <f t="shared" si="19"/>
        <v>0</v>
      </c>
      <c r="AD62" s="13">
        <f t="shared" si="20"/>
        <v>0</v>
      </c>
      <c r="AE62" s="13">
        <f t="shared" si="21"/>
        <v>0</v>
      </c>
      <c r="AF62" s="13">
        <f t="shared" si="22"/>
        <v>0</v>
      </c>
      <c r="AG62" s="13">
        <f t="shared" si="23"/>
        <v>0</v>
      </c>
      <c r="AH62" s="13">
        <f t="shared" si="24"/>
        <v>0</v>
      </c>
      <c r="AI62" s="13">
        <f t="shared" si="25"/>
        <v>0</v>
      </c>
      <c r="AJ62" s="13">
        <f t="shared" si="26"/>
        <v>0</v>
      </c>
      <c r="AK62" s="13">
        <f t="shared" si="27"/>
        <v>0</v>
      </c>
      <c r="AM62" s="14">
        <f t="shared" si="29"/>
        <v>0</v>
      </c>
      <c r="AN62" s="14">
        <f t="shared" si="28"/>
        <v>0</v>
      </c>
      <c r="AO62" s="14">
        <f t="shared" si="28"/>
        <v>0</v>
      </c>
      <c r="AP62" s="14">
        <f t="shared" si="28"/>
        <v>0</v>
      </c>
      <c r="AQ62" s="14">
        <f t="shared" si="28"/>
        <v>0</v>
      </c>
      <c r="AR62" s="14">
        <f t="shared" si="28"/>
        <v>0</v>
      </c>
      <c r="AS62" s="14">
        <f t="shared" si="28"/>
        <v>0</v>
      </c>
      <c r="AT62" s="14">
        <f t="shared" si="28"/>
        <v>0</v>
      </c>
      <c r="AU62" s="14">
        <f t="shared" si="28"/>
        <v>0</v>
      </c>
      <c r="AV62" s="14">
        <f t="shared" si="28"/>
        <v>0</v>
      </c>
      <c r="AW62" s="14">
        <f t="shared" si="28"/>
        <v>0</v>
      </c>
      <c r="AX62" s="14">
        <f t="shared" si="28"/>
        <v>0</v>
      </c>
    </row>
    <row r="63" spans="3:50">
      <c r="C63" s="12"/>
      <c r="D63" s="13"/>
      <c r="E63" s="13"/>
      <c r="F63" s="13"/>
      <c r="G63" s="13"/>
      <c r="H63" s="13"/>
      <c r="I63" s="13"/>
      <c r="J63" s="13"/>
      <c r="K63" s="13"/>
      <c r="L63" s="13"/>
      <c r="M63" s="13"/>
      <c r="N63" s="13"/>
      <c r="O63" s="13"/>
      <c r="P63" s="13"/>
      <c r="Q63" s="13"/>
      <c r="R63" s="13"/>
      <c r="S63" s="13"/>
      <c r="T63" s="13"/>
      <c r="U63" s="13"/>
      <c r="V63" s="13"/>
      <c r="W63" s="13"/>
      <c r="X63" s="13"/>
      <c r="Z63" s="13">
        <f t="shared" si="16"/>
        <v>0</v>
      </c>
      <c r="AA63" s="13">
        <f t="shared" si="17"/>
        <v>0</v>
      </c>
      <c r="AB63" s="13">
        <f t="shared" si="18"/>
        <v>0</v>
      </c>
      <c r="AC63" s="13">
        <f t="shared" si="19"/>
        <v>0</v>
      </c>
      <c r="AD63" s="13">
        <f t="shared" si="20"/>
        <v>0</v>
      </c>
      <c r="AE63" s="13">
        <f t="shared" si="21"/>
        <v>0</v>
      </c>
      <c r="AF63" s="13">
        <f t="shared" si="22"/>
        <v>0</v>
      </c>
      <c r="AG63" s="13">
        <f t="shared" si="23"/>
        <v>0</v>
      </c>
      <c r="AH63" s="13">
        <f t="shared" si="24"/>
        <v>0</v>
      </c>
      <c r="AI63" s="13">
        <f t="shared" si="25"/>
        <v>0</v>
      </c>
      <c r="AJ63" s="13">
        <f t="shared" si="26"/>
        <v>0</v>
      </c>
      <c r="AK63" s="13">
        <f t="shared" si="27"/>
        <v>0</v>
      </c>
      <c r="AM63" s="14">
        <f t="shared" si="29"/>
        <v>0</v>
      </c>
      <c r="AN63" s="14">
        <f t="shared" si="28"/>
        <v>0</v>
      </c>
      <c r="AO63" s="14">
        <f t="shared" si="28"/>
        <v>0</v>
      </c>
      <c r="AP63" s="14">
        <f t="shared" si="28"/>
        <v>0</v>
      </c>
      <c r="AQ63" s="14">
        <f t="shared" si="28"/>
        <v>0</v>
      </c>
      <c r="AR63" s="14">
        <f t="shared" si="28"/>
        <v>0</v>
      </c>
      <c r="AS63" s="14">
        <f t="shared" si="28"/>
        <v>0</v>
      </c>
      <c r="AT63" s="14">
        <f t="shared" si="28"/>
        <v>0</v>
      </c>
      <c r="AU63" s="14">
        <f t="shared" si="28"/>
        <v>0</v>
      </c>
      <c r="AV63" s="14">
        <f t="shared" si="28"/>
        <v>0</v>
      </c>
      <c r="AW63" s="14">
        <f t="shared" si="28"/>
        <v>0</v>
      </c>
      <c r="AX63" s="14">
        <f t="shared" si="28"/>
        <v>0</v>
      </c>
    </row>
    <row r="64" spans="3:50">
      <c r="C64" s="12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3"/>
      <c r="P64" s="13"/>
      <c r="Q64" s="13"/>
      <c r="R64" s="13"/>
      <c r="S64" s="13"/>
      <c r="T64" s="13"/>
      <c r="U64" s="13"/>
      <c r="V64" s="13"/>
      <c r="W64" s="13"/>
      <c r="X64" s="13"/>
      <c r="Z64" s="13">
        <f t="shared" si="16"/>
        <v>0</v>
      </c>
      <c r="AA64" s="13">
        <f t="shared" si="17"/>
        <v>0</v>
      </c>
      <c r="AB64" s="13">
        <f t="shared" si="18"/>
        <v>0</v>
      </c>
      <c r="AC64" s="13">
        <f t="shared" si="19"/>
        <v>0</v>
      </c>
      <c r="AD64" s="13">
        <f t="shared" si="20"/>
        <v>0</v>
      </c>
      <c r="AE64" s="13">
        <f t="shared" si="21"/>
        <v>0</v>
      </c>
      <c r="AF64" s="13">
        <f t="shared" si="22"/>
        <v>0</v>
      </c>
      <c r="AG64" s="13">
        <f t="shared" si="23"/>
        <v>0</v>
      </c>
      <c r="AH64" s="13">
        <f t="shared" si="24"/>
        <v>0</v>
      </c>
      <c r="AI64" s="13">
        <f t="shared" si="25"/>
        <v>0</v>
      </c>
      <c r="AJ64" s="13">
        <f t="shared" si="26"/>
        <v>0</v>
      </c>
      <c r="AK64" s="13">
        <f t="shared" si="27"/>
        <v>0</v>
      </c>
      <c r="AM64" s="14">
        <f t="shared" si="29"/>
        <v>0</v>
      </c>
      <c r="AN64" s="14">
        <f t="shared" si="28"/>
        <v>0</v>
      </c>
      <c r="AO64" s="14">
        <f t="shared" si="28"/>
        <v>0</v>
      </c>
      <c r="AP64" s="14">
        <f t="shared" si="28"/>
        <v>0</v>
      </c>
      <c r="AQ64" s="14">
        <f t="shared" si="28"/>
        <v>0</v>
      </c>
      <c r="AR64" s="14">
        <f t="shared" si="28"/>
        <v>0</v>
      </c>
      <c r="AS64" s="14">
        <f t="shared" si="28"/>
        <v>0</v>
      </c>
      <c r="AT64" s="14">
        <f t="shared" si="28"/>
        <v>0</v>
      </c>
      <c r="AU64" s="14">
        <f t="shared" si="28"/>
        <v>0</v>
      </c>
      <c r="AV64" s="14">
        <f t="shared" si="28"/>
        <v>0</v>
      </c>
      <c r="AW64" s="14">
        <f t="shared" si="28"/>
        <v>0</v>
      </c>
      <c r="AX64" s="14">
        <f t="shared" si="28"/>
        <v>0</v>
      </c>
    </row>
    <row r="65" spans="3:50">
      <c r="C65" s="12"/>
      <c r="D65" s="13"/>
      <c r="E65" s="13"/>
      <c r="F65" s="13"/>
      <c r="G65" s="13"/>
      <c r="H65" s="13"/>
      <c r="I65" s="13"/>
      <c r="J65" s="13"/>
      <c r="K65" s="13"/>
      <c r="L65" s="13"/>
      <c r="M65" s="13"/>
      <c r="N65" s="13"/>
      <c r="O65" s="13"/>
      <c r="P65" s="13"/>
      <c r="Q65" s="13"/>
      <c r="R65" s="13"/>
      <c r="S65" s="13"/>
      <c r="T65" s="13"/>
      <c r="U65" s="13"/>
      <c r="V65" s="13"/>
      <c r="W65" s="13"/>
      <c r="X65" s="13"/>
      <c r="Z65" s="13">
        <f t="shared" si="16"/>
        <v>0</v>
      </c>
      <c r="AA65" s="13">
        <f t="shared" si="17"/>
        <v>0</v>
      </c>
      <c r="AB65" s="13">
        <f t="shared" si="18"/>
        <v>0</v>
      </c>
      <c r="AC65" s="13">
        <f t="shared" si="19"/>
        <v>0</v>
      </c>
      <c r="AD65" s="13">
        <f t="shared" si="20"/>
        <v>0</v>
      </c>
      <c r="AE65" s="13">
        <f t="shared" si="21"/>
        <v>0</v>
      </c>
      <c r="AF65" s="13">
        <f t="shared" si="22"/>
        <v>0</v>
      </c>
      <c r="AG65" s="13">
        <f t="shared" si="23"/>
        <v>0</v>
      </c>
      <c r="AH65" s="13">
        <f t="shared" si="24"/>
        <v>0</v>
      </c>
      <c r="AI65" s="13">
        <f t="shared" si="25"/>
        <v>0</v>
      </c>
      <c r="AJ65" s="13">
        <f t="shared" si="26"/>
        <v>0</v>
      </c>
      <c r="AK65" s="13">
        <f t="shared" si="27"/>
        <v>0</v>
      </c>
      <c r="AM65" s="14">
        <f t="shared" si="29"/>
        <v>0</v>
      </c>
      <c r="AN65" s="14">
        <f t="shared" si="28"/>
        <v>0</v>
      </c>
      <c r="AO65" s="14">
        <f t="shared" si="28"/>
        <v>0</v>
      </c>
      <c r="AP65" s="14">
        <f t="shared" si="28"/>
        <v>0</v>
      </c>
      <c r="AQ65" s="14">
        <f t="shared" si="28"/>
        <v>0</v>
      </c>
      <c r="AR65" s="14">
        <f t="shared" si="28"/>
        <v>0</v>
      </c>
      <c r="AS65" s="14">
        <f t="shared" si="28"/>
        <v>0</v>
      </c>
      <c r="AT65" s="14">
        <f t="shared" si="28"/>
        <v>0</v>
      </c>
      <c r="AU65" s="14">
        <f t="shared" si="28"/>
        <v>0</v>
      </c>
      <c r="AV65" s="14">
        <f t="shared" si="28"/>
        <v>0</v>
      </c>
      <c r="AW65" s="14">
        <f t="shared" si="28"/>
        <v>0</v>
      </c>
      <c r="AX65" s="14">
        <f t="shared" si="28"/>
        <v>0</v>
      </c>
    </row>
    <row r="66" spans="3:50">
      <c r="C66" s="12"/>
      <c r="D66" s="13"/>
      <c r="E66" s="13"/>
      <c r="F66" s="13"/>
      <c r="G66" s="13"/>
      <c r="H66" s="13"/>
      <c r="I66" s="13"/>
      <c r="J66" s="13"/>
      <c r="K66" s="13"/>
      <c r="L66" s="13"/>
      <c r="M66" s="13"/>
      <c r="N66" s="13"/>
      <c r="O66" s="13"/>
      <c r="P66" s="13"/>
      <c r="Q66" s="13"/>
      <c r="R66" s="13"/>
      <c r="S66" s="13"/>
      <c r="T66" s="13"/>
      <c r="U66" s="13"/>
      <c r="V66" s="13"/>
      <c r="W66" s="13"/>
      <c r="X66" s="13"/>
      <c r="Z66" s="13">
        <f t="shared" si="16"/>
        <v>0</v>
      </c>
      <c r="AA66" s="13">
        <f t="shared" si="17"/>
        <v>0</v>
      </c>
      <c r="AB66" s="13">
        <f t="shared" si="18"/>
        <v>0</v>
      </c>
      <c r="AC66" s="13">
        <f t="shared" si="19"/>
        <v>0</v>
      </c>
      <c r="AD66" s="13">
        <f t="shared" si="20"/>
        <v>0</v>
      </c>
      <c r="AE66" s="13">
        <f t="shared" si="21"/>
        <v>0</v>
      </c>
      <c r="AF66" s="13">
        <f t="shared" si="22"/>
        <v>0</v>
      </c>
      <c r="AG66" s="13">
        <f t="shared" si="23"/>
        <v>0</v>
      </c>
      <c r="AH66" s="13">
        <f t="shared" si="24"/>
        <v>0</v>
      </c>
      <c r="AI66" s="13">
        <f t="shared" si="25"/>
        <v>0</v>
      </c>
      <c r="AJ66" s="13">
        <f t="shared" si="26"/>
        <v>0</v>
      </c>
      <c r="AK66" s="13">
        <f t="shared" si="27"/>
        <v>0</v>
      </c>
      <c r="AM66" s="14">
        <f t="shared" si="29"/>
        <v>0</v>
      </c>
      <c r="AN66" s="14">
        <f t="shared" si="28"/>
        <v>0</v>
      </c>
      <c r="AO66" s="14">
        <f t="shared" si="28"/>
        <v>0</v>
      </c>
      <c r="AP66" s="14">
        <f t="shared" si="28"/>
        <v>0</v>
      </c>
      <c r="AQ66" s="14">
        <f t="shared" si="28"/>
        <v>0</v>
      </c>
      <c r="AR66" s="14">
        <f t="shared" si="28"/>
        <v>0</v>
      </c>
      <c r="AS66" s="14">
        <f t="shared" si="28"/>
        <v>0</v>
      </c>
      <c r="AT66" s="14">
        <f t="shared" si="28"/>
        <v>0</v>
      </c>
      <c r="AU66" s="14">
        <f t="shared" si="28"/>
        <v>0</v>
      </c>
      <c r="AV66" s="14">
        <f t="shared" si="28"/>
        <v>0</v>
      </c>
      <c r="AW66" s="14">
        <f t="shared" si="28"/>
        <v>0</v>
      </c>
      <c r="AX66" s="14">
        <f t="shared" si="28"/>
        <v>0</v>
      </c>
    </row>
    <row r="67" spans="3:50">
      <c r="C67" s="12"/>
      <c r="D67" s="13"/>
      <c r="E67" s="13"/>
      <c r="F67" s="13"/>
      <c r="G67" s="13"/>
      <c r="H67" s="13"/>
      <c r="I67" s="13"/>
      <c r="J67" s="13"/>
      <c r="K67" s="13"/>
      <c r="L67" s="13"/>
      <c r="M67" s="13"/>
      <c r="N67" s="13"/>
      <c r="O67" s="13"/>
      <c r="P67" s="13"/>
      <c r="Q67" s="13"/>
      <c r="R67" s="13"/>
      <c r="S67" s="13"/>
      <c r="T67" s="13"/>
      <c r="U67" s="13"/>
      <c r="V67" s="13"/>
      <c r="W67" s="13"/>
      <c r="X67" s="13"/>
      <c r="Z67" s="13">
        <f t="shared" si="16"/>
        <v>0</v>
      </c>
      <c r="AA67" s="13">
        <f t="shared" si="17"/>
        <v>0</v>
      </c>
      <c r="AB67" s="13">
        <f t="shared" si="18"/>
        <v>0</v>
      </c>
      <c r="AC67" s="13">
        <f t="shared" si="19"/>
        <v>0</v>
      </c>
      <c r="AD67" s="13">
        <f t="shared" si="20"/>
        <v>0</v>
      </c>
      <c r="AE67" s="13">
        <f t="shared" si="21"/>
        <v>0</v>
      </c>
      <c r="AF67" s="13">
        <f t="shared" si="22"/>
        <v>0</v>
      </c>
      <c r="AG67" s="13">
        <f t="shared" si="23"/>
        <v>0</v>
      </c>
      <c r="AH67" s="13">
        <f t="shared" si="24"/>
        <v>0</v>
      </c>
      <c r="AI67" s="13">
        <f t="shared" si="25"/>
        <v>0</v>
      </c>
      <c r="AJ67" s="13">
        <f t="shared" si="26"/>
        <v>0</v>
      </c>
      <c r="AK67" s="13">
        <f t="shared" si="27"/>
        <v>0</v>
      </c>
      <c r="AM67" s="14">
        <f t="shared" si="29"/>
        <v>0</v>
      </c>
      <c r="AN67" s="14">
        <f t="shared" si="28"/>
        <v>0</v>
      </c>
      <c r="AO67" s="14">
        <f t="shared" si="28"/>
        <v>0</v>
      </c>
      <c r="AP67" s="14">
        <f t="shared" si="28"/>
        <v>0</v>
      </c>
      <c r="AQ67" s="14">
        <f t="shared" si="28"/>
        <v>0</v>
      </c>
      <c r="AR67" s="14">
        <f t="shared" si="28"/>
        <v>0</v>
      </c>
      <c r="AS67" s="14">
        <f t="shared" si="28"/>
        <v>0</v>
      </c>
      <c r="AT67" s="14">
        <f t="shared" si="28"/>
        <v>0</v>
      </c>
      <c r="AU67" s="14">
        <f t="shared" si="28"/>
        <v>0</v>
      </c>
      <c r="AV67" s="14">
        <f t="shared" si="28"/>
        <v>0</v>
      </c>
      <c r="AW67" s="14">
        <f t="shared" si="28"/>
        <v>0</v>
      </c>
      <c r="AX67" s="14">
        <f t="shared" si="28"/>
        <v>0</v>
      </c>
    </row>
    <row r="68" spans="3:50">
      <c r="C68" s="12"/>
      <c r="D68" s="13"/>
      <c r="E68" s="13"/>
      <c r="F68" s="13"/>
      <c r="G68" s="13"/>
      <c r="H68" s="13"/>
      <c r="I68" s="13"/>
      <c r="J68" s="13"/>
      <c r="K68" s="13"/>
      <c r="L68" s="13"/>
      <c r="M68" s="13"/>
      <c r="N68" s="13"/>
      <c r="O68" s="13"/>
      <c r="P68" s="13"/>
      <c r="Q68" s="13"/>
      <c r="R68" s="13"/>
      <c r="S68" s="13"/>
      <c r="T68" s="13"/>
      <c r="U68" s="13"/>
      <c r="V68" s="13"/>
      <c r="W68" s="13"/>
      <c r="X68" s="13"/>
      <c r="Z68" s="13">
        <f t="shared" si="16"/>
        <v>0</v>
      </c>
      <c r="AA68" s="13">
        <f t="shared" si="17"/>
        <v>0</v>
      </c>
      <c r="AB68" s="13">
        <f t="shared" si="18"/>
        <v>0</v>
      </c>
      <c r="AC68" s="13">
        <f t="shared" si="19"/>
        <v>0</v>
      </c>
      <c r="AD68" s="13">
        <f t="shared" si="20"/>
        <v>0</v>
      </c>
      <c r="AE68" s="13">
        <f t="shared" si="21"/>
        <v>0</v>
      </c>
      <c r="AF68" s="13">
        <f t="shared" si="22"/>
        <v>0</v>
      </c>
      <c r="AG68" s="13">
        <f t="shared" si="23"/>
        <v>0</v>
      </c>
      <c r="AH68" s="13">
        <f t="shared" si="24"/>
        <v>0</v>
      </c>
      <c r="AI68" s="13">
        <f t="shared" si="25"/>
        <v>0</v>
      </c>
      <c r="AJ68" s="13">
        <f t="shared" si="26"/>
        <v>0</v>
      </c>
      <c r="AK68" s="13">
        <f t="shared" si="27"/>
        <v>0</v>
      </c>
      <c r="AM68" s="14">
        <f t="shared" si="29"/>
        <v>0</v>
      </c>
      <c r="AN68" s="14">
        <f t="shared" si="28"/>
        <v>0</v>
      </c>
      <c r="AO68" s="14">
        <f t="shared" si="28"/>
        <v>0</v>
      </c>
      <c r="AP68" s="14">
        <f t="shared" si="28"/>
        <v>0</v>
      </c>
      <c r="AQ68" s="14">
        <f t="shared" si="28"/>
        <v>0</v>
      </c>
      <c r="AR68" s="14">
        <f t="shared" si="28"/>
        <v>0</v>
      </c>
      <c r="AS68" s="14">
        <f t="shared" si="28"/>
        <v>0</v>
      </c>
      <c r="AT68" s="14">
        <f t="shared" si="28"/>
        <v>0</v>
      </c>
      <c r="AU68" s="14">
        <f t="shared" si="28"/>
        <v>0</v>
      </c>
      <c r="AV68" s="14">
        <f t="shared" si="28"/>
        <v>0</v>
      </c>
      <c r="AW68" s="14">
        <f t="shared" si="28"/>
        <v>0</v>
      </c>
      <c r="AX68" s="14">
        <f t="shared" si="28"/>
        <v>0</v>
      </c>
    </row>
    <row r="69" spans="3:50">
      <c r="C69" s="12"/>
      <c r="D69" s="13"/>
      <c r="E69" s="13"/>
      <c r="F69" s="13"/>
      <c r="G69" s="13"/>
      <c r="H69" s="13"/>
      <c r="I69" s="13"/>
      <c r="J69" s="13"/>
      <c r="K69" s="13"/>
      <c r="L69" s="13"/>
      <c r="M69" s="13"/>
      <c r="N69" s="13"/>
      <c r="O69" s="13"/>
      <c r="P69" s="13"/>
      <c r="Q69" s="13"/>
      <c r="R69" s="13"/>
      <c r="S69" s="13"/>
      <c r="T69" s="13"/>
      <c r="U69" s="13"/>
      <c r="V69" s="13"/>
      <c r="W69" s="13"/>
      <c r="X69" s="13"/>
      <c r="Z69" s="13">
        <f t="shared" si="16"/>
        <v>0</v>
      </c>
      <c r="AA69" s="13">
        <f t="shared" si="17"/>
        <v>0</v>
      </c>
      <c r="AB69" s="13">
        <f t="shared" si="18"/>
        <v>0</v>
      </c>
      <c r="AC69" s="13">
        <f t="shared" si="19"/>
        <v>0</v>
      </c>
      <c r="AD69" s="13">
        <f t="shared" si="20"/>
        <v>0</v>
      </c>
      <c r="AE69" s="13">
        <f t="shared" si="21"/>
        <v>0</v>
      </c>
      <c r="AF69" s="13">
        <f t="shared" si="22"/>
        <v>0</v>
      </c>
      <c r="AG69" s="13">
        <f t="shared" si="23"/>
        <v>0</v>
      </c>
      <c r="AH69" s="13">
        <f t="shared" si="24"/>
        <v>0</v>
      </c>
      <c r="AI69" s="13">
        <f t="shared" si="25"/>
        <v>0</v>
      </c>
      <c r="AJ69" s="13">
        <f t="shared" si="26"/>
        <v>0</v>
      </c>
      <c r="AK69" s="13">
        <f t="shared" si="27"/>
        <v>0</v>
      </c>
      <c r="AM69" s="14">
        <f t="shared" si="29"/>
        <v>0</v>
      </c>
      <c r="AN69" s="14">
        <f t="shared" si="28"/>
        <v>0</v>
      </c>
      <c r="AO69" s="14">
        <f t="shared" si="28"/>
        <v>0</v>
      </c>
      <c r="AP69" s="14">
        <f t="shared" ref="AP69:AX97" si="30">IF(AC$9&gt;0,AC69/AC$9,0)</f>
        <v>0</v>
      </c>
      <c r="AQ69" s="14">
        <f t="shared" si="30"/>
        <v>0</v>
      </c>
      <c r="AR69" s="14">
        <f t="shared" si="30"/>
        <v>0</v>
      </c>
      <c r="AS69" s="14">
        <f t="shared" si="30"/>
        <v>0</v>
      </c>
      <c r="AT69" s="14">
        <f t="shared" si="30"/>
        <v>0</v>
      </c>
      <c r="AU69" s="14">
        <f t="shared" si="30"/>
        <v>0</v>
      </c>
      <c r="AV69" s="14">
        <f t="shared" si="30"/>
        <v>0</v>
      </c>
      <c r="AW69" s="14">
        <f t="shared" si="30"/>
        <v>0</v>
      </c>
      <c r="AX69" s="14">
        <f t="shared" si="30"/>
        <v>0</v>
      </c>
    </row>
    <row r="70" spans="3:50">
      <c r="C70" s="12"/>
      <c r="D70" s="13"/>
      <c r="E70" s="13"/>
      <c r="F70" s="13"/>
      <c r="G70" s="13"/>
      <c r="H70" s="13"/>
      <c r="I70" s="13"/>
      <c r="J70" s="13"/>
      <c r="K70" s="13"/>
      <c r="L70" s="13"/>
      <c r="M70" s="13"/>
      <c r="N70" s="13"/>
      <c r="O70" s="13"/>
      <c r="P70" s="13"/>
      <c r="Q70" s="13"/>
      <c r="R70" s="13"/>
      <c r="S70" s="13"/>
      <c r="T70" s="13"/>
      <c r="U70" s="13"/>
      <c r="V70" s="13"/>
      <c r="W70" s="13"/>
      <c r="X70" s="13"/>
      <c r="Z70" s="13">
        <f t="shared" si="16"/>
        <v>0</v>
      </c>
      <c r="AA70" s="13">
        <f t="shared" si="17"/>
        <v>0</v>
      </c>
      <c r="AB70" s="13">
        <f t="shared" si="18"/>
        <v>0</v>
      </c>
      <c r="AC70" s="13">
        <f t="shared" si="19"/>
        <v>0</v>
      </c>
      <c r="AD70" s="13">
        <f t="shared" si="20"/>
        <v>0</v>
      </c>
      <c r="AE70" s="13">
        <f t="shared" si="21"/>
        <v>0</v>
      </c>
      <c r="AF70" s="13">
        <f t="shared" si="22"/>
        <v>0</v>
      </c>
      <c r="AG70" s="13">
        <f t="shared" si="23"/>
        <v>0</v>
      </c>
      <c r="AH70" s="13">
        <f t="shared" si="24"/>
        <v>0</v>
      </c>
      <c r="AI70" s="13">
        <f t="shared" si="25"/>
        <v>0</v>
      </c>
      <c r="AJ70" s="13">
        <f t="shared" si="26"/>
        <v>0</v>
      </c>
      <c r="AK70" s="13">
        <f t="shared" si="27"/>
        <v>0</v>
      </c>
      <c r="AM70" s="14">
        <f t="shared" si="29"/>
        <v>0</v>
      </c>
      <c r="AN70" s="14">
        <f t="shared" si="29"/>
        <v>0</v>
      </c>
      <c r="AO70" s="14">
        <f t="shared" si="29"/>
        <v>0</v>
      </c>
      <c r="AP70" s="14">
        <f t="shared" si="30"/>
        <v>0</v>
      </c>
      <c r="AQ70" s="14">
        <f t="shared" si="30"/>
        <v>0</v>
      </c>
      <c r="AR70" s="14">
        <f t="shared" si="30"/>
        <v>0</v>
      </c>
      <c r="AS70" s="14">
        <f t="shared" si="30"/>
        <v>0</v>
      </c>
      <c r="AT70" s="14">
        <f t="shared" si="30"/>
        <v>0</v>
      </c>
      <c r="AU70" s="14">
        <f t="shared" si="30"/>
        <v>0</v>
      </c>
      <c r="AV70" s="14">
        <f t="shared" si="30"/>
        <v>0</v>
      </c>
      <c r="AW70" s="14">
        <f t="shared" si="30"/>
        <v>0</v>
      </c>
      <c r="AX70" s="14">
        <f t="shared" si="30"/>
        <v>0</v>
      </c>
    </row>
    <row r="71" spans="3:50">
      <c r="C71" s="12"/>
      <c r="D71" s="13"/>
      <c r="E71" s="13"/>
      <c r="F71" s="13"/>
      <c r="G71" s="13"/>
      <c r="H71" s="13"/>
      <c r="I71" s="13"/>
      <c r="J71" s="13"/>
      <c r="K71" s="13"/>
      <c r="L71" s="13"/>
      <c r="M71" s="13"/>
      <c r="N71" s="13"/>
      <c r="O71" s="13"/>
      <c r="P71" s="13"/>
      <c r="Q71" s="13"/>
      <c r="R71" s="13"/>
      <c r="S71" s="13"/>
      <c r="T71" s="13"/>
      <c r="U71" s="13"/>
      <c r="V71" s="13"/>
      <c r="W71" s="13"/>
      <c r="X71" s="13"/>
      <c r="Z71" s="13">
        <f t="shared" si="16"/>
        <v>0</v>
      </c>
      <c r="AA71" s="13">
        <f t="shared" si="17"/>
        <v>0</v>
      </c>
      <c r="AB71" s="13">
        <f t="shared" si="18"/>
        <v>0</v>
      </c>
      <c r="AC71" s="13">
        <f t="shared" si="19"/>
        <v>0</v>
      </c>
      <c r="AD71" s="13">
        <f t="shared" si="20"/>
        <v>0</v>
      </c>
      <c r="AE71" s="13">
        <f t="shared" si="21"/>
        <v>0</v>
      </c>
      <c r="AF71" s="13">
        <f t="shared" si="22"/>
        <v>0</v>
      </c>
      <c r="AG71" s="13">
        <f t="shared" si="23"/>
        <v>0</v>
      </c>
      <c r="AH71" s="13">
        <f t="shared" si="24"/>
        <v>0</v>
      </c>
      <c r="AI71" s="13">
        <f t="shared" si="25"/>
        <v>0</v>
      </c>
      <c r="AJ71" s="13">
        <f t="shared" si="26"/>
        <v>0</v>
      </c>
      <c r="AK71" s="13">
        <f t="shared" si="27"/>
        <v>0</v>
      </c>
      <c r="AM71" s="14">
        <f t="shared" si="29"/>
        <v>0</v>
      </c>
      <c r="AN71" s="14">
        <f t="shared" si="29"/>
        <v>0</v>
      </c>
      <c r="AO71" s="14">
        <f t="shared" si="29"/>
        <v>0</v>
      </c>
      <c r="AP71" s="14">
        <f t="shared" si="30"/>
        <v>0</v>
      </c>
      <c r="AQ71" s="14">
        <f t="shared" si="30"/>
        <v>0</v>
      </c>
      <c r="AR71" s="14">
        <f t="shared" si="30"/>
        <v>0</v>
      </c>
      <c r="AS71" s="14">
        <f t="shared" si="30"/>
        <v>0</v>
      </c>
      <c r="AT71" s="14">
        <f t="shared" si="30"/>
        <v>0</v>
      </c>
      <c r="AU71" s="14">
        <f t="shared" si="30"/>
        <v>0</v>
      </c>
      <c r="AV71" s="14">
        <f t="shared" si="30"/>
        <v>0</v>
      </c>
      <c r="AW71" s="14">
        <f t="shared" si="30"/>
        <v>0</v>
      </c>
      <c r="AX71" s="14">
        <f t="shared" si="30"/>
        <v>0</v>
      </c>
    </row>
    <row r="72" spans="3:50">
      <c r="C72" s="12"/>
      <c r="D72" s="13"/>
      <c r="E72" s="13"/>
      <c r="F72" s="13"/>
      <c r="G72" s="13"/>
      <c r="H72" s="13"/>
      <c r="I72" s="13"/>
      <c r="J72" s="13"/>
      <c r="K72" s="13"/>
      <c r="L72" s="13"/>
      <c r="M72" s="13"/>
      <c r="N72" s="13"/>
      <c r="O72" s="13"/>
      <c r="P72" s="13"/>
      <c r="Q72" s="13"/>
      <c r="R72" s="13"/>
      <c r="S72" s="13"/>
      <c r="T72" s="13"/>
      <c r="U72" s="13"/>
      <c r="V72" s="13"/>
      <c r="W72" s="13"/>
      <c r="X72" s="13"/>
      <c r="Z72" s="13">
        <f t="shared" si="16"/>
        <v>0</v>
      </c>
      <c r="AA72" s="13">
        <f t="shared" si="17"/>
        <v>0</v>
      </c>
      <c r="AB72" s="13">
        <f t="shared" si="18"/>
        <v>0</v>
      </c>
      <c r="AC72" s="13">
        <f t="shared" si="19"/>
        <v>0</v>
      </c>
      <c r="AD72" s="13">
        <f t="shared" si="20"/>
        <v>0</v>
      </c>
      <c r="AE72" s="13">
        <f t="shared" si="21"/>
        <v>0</v>
      </c>
      <c r="AF72" s="13">
        <f t="shared" si="22"/>
        <v>0</v>
      </c>
      <c r="AG72" s="13">
        <f t="shared" si="23"/>
        <v>0</v>
      </c>
      <c r="AH72" s="13">
        <f t="shared" si="24"/>
        <v>0</v>
      </c>
      <c r="AI72" s="13">
        <f t="shared" si="25"/>
        <v>0</v>
      </c>
      <c r="AJ72" s="13">
        <f t="shared" si="26"/>
        <v>0</v>
      </c>
      <c r="AK72" s="13">
        <f t="shared" si="27"/>
        <v>0</v>
      </c>
      <c r="AM72" s="14">
        <f t="shared" si="29"/>
        <v>0</v>
      </c>
      <c r="AN72" s="14">
        <f t="shared" si="29"/>
        <v>0</v>
      </c>
      <c r="AO72" s="14">
        <f t="shared" si="29"/>
        <v>0</v>
      </c>
      <c r="AP72" s="14">
        <f t="shared" si="30"/>
        <v>0</v>
      </c>
      <c r="AQ72" s="14">
        <f t="shared" si="30"/>
        <v>0</v>
      </c>
      <c r="AR72" s="14">
        <f t="shared" si="30"/>
        <v>0</v>
      </c>
      <c r="AS72" s="14">
        <f t="shared" si="30"/>
        <v>0</v>
      </c>
      <c r="AT72" s="14">
        <f t="shared" si="30"/>
        <v>0</v>
      </c>
      <c r="AU72" s="14">
        <f t="shared" si="30"/>
        <v>0</v>
      </c>
      <c r="AV72" s="14">
        <f t="shared" si="30"/>
        <v>0</v>
      </c>
      <c r="AW72" s="14">
        <f t="shared" si="30"/>
        <v>0</v>
      </c>
      <c r="AX72" s="14">
        <f t="shared" si="30"/>
        <v>0</v>
      </c>
    </row>
    <row r="73" spans="3:50">
      <c r="C73" s="12"/>
      <c r="D73" s="13"/>
      <c r="E73" s="13"/>
      <c r="F73" s="13"/>
      <c r="G73" s="13"/>
      <c r="H73" s="13"/>
      <c r="I73" s="13"/>
      <c r="J73" s="13"/>
      <c r="K73" s="13"/>
      <c r="L73" s="13"/>
      <c r="M73" s="13"/>
      <c r="N73" s="13"/>
      <c r="O73" s="13"/>
      <c r="P73" s="13"/>
      <c r="Q73" s="13"/>
      <c r="R73" s="13"/>
      <c r="S73" s="13"/>
      <c r="T73" s="13"/>
      <c r="U73" s="13"/>
      <c r="V73" s="13"/>
      <c r="W73" s="13"/>
      <c r="X73" s="13"/>
      <c r="Z73" s="13">
        <f t="shared" si="16"/>
        <v>0</v>
      </c>
      <c r="AA73" s="13">
        <f t="shared" si="17"/>
        <v>0</v>
      </c>
      <c r="AB73" s="13">
        <f t="shared" si="18"/>
        <v>0</v>
      </c>
      <c r="AC73" s="13">
        <f t="shared" si="19"/>
        <v>0</v>
      </c>
      <c r="AD73" s="13">
        <f t="shared" si="20"/>
        <v>0</v>
      </c>
      <c r="AE73" s="13">
        <f t="shared" si="21"/>
        <v>0</v>
      </c>
      <c r="AF73" s="13">
        <f t="shared" si="22"/>
        <v>0</v>
      </c>
      <c r="AG73" s="13">
        <f t="shared" si="23"/>
        <v>0</v>
      </c>
      <c r="AH73" s="13">
        <f t="shared" si="24"/>
        <v>0</v>
      </c>
      <c r="AI73" s="13">
        <f t="shared" si="25"/>
        <v>0</v>
      </c>
      <c r="AJ73" s="13">
        <f t="shared" si="26"/>
        <v>0</v>
      </c>
      <c r="AK73" s="13">
        <f t="shared" si="27"/>
        <v>0</v>
      </c>
      <c r="AM73" s="14">
        <f t="shared" si="29"/>
        <v>0</v>
      </c>
      <c r="AN73" s="14">
        <f t="shared" si="29"/>
        <v>0</v>
      </c>
      <c r="AO73" s="14">
        <f t="shared" si="29"/>
        <v>0</v>
      </c>
      <c r="AP73" s="14">
        <f t="shared" si="30"/>
        <v>0</v>
      </c>
      <c r="AQ73" s="14">
        <f t="shared" si="30"/>
        <v>0</v>
      </c>
      <c r="AR73" s="14">
        <f t="shared" si="30"/>
        <v>0</v>
      </c>
      <c r="AS73" s="14">
        <f t="shared" si="30"/>
        <v>0</v>
      </c>
      <c r="AT73" s="14">
        <f t="shared" si="30"/>
        <v>0</v>
      </c>
      <c r="AU73" s="14">
        <f t="shared" si="30"/>
        <v>0</v>
      </c>
      <c r="AV73" s="14">
        <f t="shared" si="30"/>
        <v>0</v>
      </c>
      <c r="AW73" s="14">
        <f t="shared" si="30"/>
        <v>0</v>
      </c>
      <c r="AX73" s="14">
        <f t="shared" si="30"/>
        <v>0</v>
      </c>
    </row>
    <row r="74" spans="3:50">
      <c r="C74" s="12"/>
      <c r="D74" s="13"/>
      <c r="E74" s="13"/>
      <c r="F74" s="13"/>
      <c r="G74" s="13"/>
      <c r="H74" s="13"/>
      <c r="I74" s="13"/>
      <c r="J74" s="13"/>
      <c r="K74" s="13"/>
      <c r="L74" s="13"/>
      <c r="M74" s="13"/>
      <c r="N74" s="13"/>
      <c r="O74" s="13"/>
      <c r="P74" s="13"/>
      <c r="Q74" s="13"/>
      <c r="R74" s="13"/>
      <c r="S74" s="13"/>
      <c r="T74" s="13"/>
      <c r="U74" s="13"/>
      <c r="V74" s="13"/>
      <c r="W74" s="13"/>
      <c r="X74" s="13"/>
      <c r="Z74" s="13">
        <f t="shared" ref="Z74:Z100" si="31">SUMIF($E$9:$X$9,"3.1.1 ",$E74:$X74)</f>
        <v>0</v>
      </c>
      <c r="AA74" s="13">
        <f t="shared" ref="AA74:AA100" si="32">SUMIF($E$9:$X$9,"3.1.2 ",$E74:$X74)</f>
        <v>0</v>
      </c>
      <c r="AB74" s="13">
        <f t="shared" ref="AB74:AB100" si="33">SUMIF($E$9:$X$9,"3.1.3 ",$E74:$X74)</f>
        <v>0</v>
      </c>
      <c r="AC74" s="13">
        <f t="shared" ref="AC74:AC100" si="34">SUMIF($E$9:$X$9,"3.1.4 ",$E74:$X74)</f>
        <v>0</v>
      </c>
      <c r="AD74" s="13">
        <f t="shared" ref="AD74:AD100" si="35">SUMIF($E$9:$X$9,"3.1.5 ",$E74:$X74)</f>
        <v>0</v>
      </c>
      <c r="AE74" s="13">
        <f t="shared" ref="AE74:AE100" si="36">SUMIF($E$9:$X$9,"3.1.6 ",$E74:$X74)</f>
        <v>0</v>
      </c>
      <c r="AF74" s="13">
        <f t="shared" ref="AF74:AF100" si="37">SUMIF($E$9:$X$9,"3.1.7 ",$E74:$X74)</f>
        <v>0</v>
      </c>
      <c r="AG74" s="13">
        <f t="shared" ref="AG74:AG100" si="38">SUMIF($E$9:$X$9,"3.1.8 ",$E74:$X74)</f>
        <v>0</v>
      </c>
      <c r="AH74" s="13">
        <f t="shared" ref="AH74:AH100" si="39">SUMIF($E$9:$X$9,"3.1.9 ",$E74:$X74)</f>
        <v>0</v>
      </c>
      <c r="AI74" s="13">
        <f t="shared" ref="AI74:AI100" si="40">SUMIF($E$9:$X$9,"3.1.10",$E74:$X74)</f>
        <v>0</v>
      </c>
      <c r="AJ74" s="13">
        <f t="shared" ref="AJ74:AJ100" si="41">SUMIF($E$9:$X$9,"3.1.11",$E74:$X74)</f>
        <v>0</v>
      </c>
      <c r="AK74" s="13">
        <f t="shared" ref="AK74:AK100" si="42">SUMIF($E$9:$X$9,"3.1.12",$E74:$X74)</f>
        <v>0</v>
      </c>
      <c r="AM74" s="14">
        <f t="shared" si="29"/>
        <v>0</v>
      </c>
      <c r="AN74" s="14">
        <f t="shared" si="29"/>
        <v>0</v>
      </c>
      <c r="AO74" s="14">
        <f t="shared" si="29"/>
        <v>0</v>
      </c>
      <c r="AP74" s="14">
        <f t="shared" si="30"/>
        <v>0</v>
      </c>
      <c r="AQ74" s="14">
        <f t="shared" si="30"/>
        <v>0</v>
      </c>
      <c r="AR74" s="14">
        <f t="shared" si="30"/>
        <v>0</v>
      </c>
      <c r="AS74" s="14">
        <f t="shared" si="30"/>
        <v>0</v>
      </c>
      <c r="AT74" s="14">
        <f t="shared" si="30"/>
        <v>0</v>
      </c>
      <c r="AU74" s="14">
        <f t="shared" si="30"/>
        <v>0</v>
      </c>
      <c r="AV74" s="14">
        <f t="shared" si="30"/>
        <v>0</v>
      </c>
      <c r="AW74" s="14">
        <f t="shared" si="30"/>
        <v>0</v>
      </c>
      <c r="AX74" s="14">
        <f t="shared" si="30"/>
        <v>0</v>
      </c>
    </row>
    <row r="75" spans="3:50">
      <c r="C75" s="12"/>
      <c r="D75" s="13"/>
      <c r="E75" s="13"/>
      <c r="F75" s="13"/>
      <c r="G75" s="13"/>
      <c r="H75" s="13"/>
      <c r="I75" s="13"/>
      <c r="J75" s="13"/>
      <c r="K75" s="13"/>
      <c r="L75" s="13"/>
      <c r="M75" s="13"/>
      <c r="N75" s="13"/>
      <c r="O75" s="13"/>
      <c r="P75" s="13"/>
      <c r="Q75" s="13"/>
      <c r="R75" s="13"/>
      <c r="S75" s="13"/>
      <c r="T75" s="13"/>
      <c r="U75" s="13"/>
      <c r="V75" s="13"/>
      <c r="W75" s="13"/>
      <c r="X75" s="13"/>
      <c r="Z75" s="13">
        <f t="shared" si="31"/>
        <v>0</v>
      </c>
      <c r="AA75" s="13">
        <f t="shared" si="32"/>
        <v>0</v>
      </c>
      <c r="AB75" s="13">
        <f t="shared" si="33"/>
        <v>0</v>
      </c>
      <c r="AC75" s="13">
        <f t="shared" si="34"/>
        <v>0</v>
      </c>
      <c r="AD75" s="13">
        <f t="shared" si="35"/>
        <v>0</v>
      </c>
      <c r="AE75" s="13">
        <f t="shared" si="36"/>
        <v>0</v>
      </c>
      <c r="AF75" s="13">
        <f t="shared" si="37"/>
        <v>0</v>
      </c>
      <c r="AG75" s="13">
        <f t="shared" si="38"/>
        <v>0</v>
      </c>
      <c r="AH75" s="13">
        <f t="shared" si="39"/>
        <v>0</v>
      </c>
      <c r="AI75" s="13">
        <f t="shared" si="40"/>
        <v>0</v>
      </c>
      <c r="AJ75" s="13">
        <f t="shared" si="41"/>
        <v>0</v>
      </c>
      <c r="AK75" s="13">
        <f t="shared" si="42"/>
        <v>0</v>
      </c>
      <c r="AM75" s="14">
        <f t="shared" si="29"/>
        <v>0</v>
      </c>
      <c r="AN75" s="14">
        <f t="shared" si="29"/>
        <v>0</v>
      </c>
      <c r="AO75" s="14">
        <f t="shared" si="29"/>
        <v>0</v>
      </c>
      <c r="AP75" s="14">
        <f t="shared" si="30"/>
        <v>0</v>
      </c>
      <c r="AQ75" s="14">
        <f t="shared" si="30"/>
        <v>0</v>
      </c>
      <c r="AR75" s="14">
        <f t="shared" si="30"/>
        <v>0</v>
      </c>
      <c r="AS75" s="14">
        <f t="shared" si="30"/>
        <v>0</v>
      </c>
      <c r="AT75" s="14">
        <f t="shared" si="30"/>
        <v>0</v>
      </c>
      <c r="AU75" s="14">
        <f t="shared" si="30"/>
        <v>0</v>
      </c>
      <c r="AV75" s="14">
        <f t="shared" si="30"/>
        <v>0</v>
      </c>
      <c r="AW75" s="14">
        <f t="shared" si="30"/>
        <v>0</v>
      </c>
      <c r="AX75" s="14">
        <f t="shared" si="30"/>
        <v>0</v>
      </c>
    </row>
    <row r="76" spans="3:50">
      <c r="C76" s="12"/>
      <c r="D76" s="13"/>
      <c r="E76" s="13"/>
      <c r="F76" s="13"/>
      <c r="G76" s="13"/>
      <c r="H76" s="13"/>
      <c r="I76" s="13"/>
      <c r="J76" s="13"/>
      <c r="K76" s="13"/>
      <c r="L76" s="13"/>
      <c r="M76" s="13"/>
      <c r="N76" s="13"/>
      <c r="O76" s="13"/>
      <c r="P76" s="13"/>
      <c r="Q76" s="13"/>
      <c r="R76" s="13"/>
      <c r="S76" s="13"/>
      <c r="T76" s="13"/>
      <c r="U76" s="13"/>
      <c r="V76" s="13"/>
      <c r="W76" s="13"/>
      <c r="X76" s="13"/>
      <c r="Z76" s="13">
        <f t="shared" si="31"/>
        <v>0</v>
      </c>
      <c r="AA76" s="13">
        <f t="shared" si="32"/>
        <v>0</v>
      </c>
      <c r="AB76" s="13">
        <f t="shared" si="33"/>
        <v>0</v>
      </c>
      <c r="AC76" s="13">
        <f t="shared" si="34"/>
        <v>0</v>
      </c>
      <c r="AD76" s="13">
        <f t="shared" si="35"/>
        <v>0</v>
      </c>
      <c r="AE76" s="13">
        <f t="shared" si="36"/>
        <v>0</v>
      </c>
      <c r="AF76" s="13">
        <f t="shared" si="37"/>
        <v>0</v>
      </c>
      <c r="AG76" s="13">
        <f t="shared" si="38"/>
        <v>0</v>
      </c>
      <c r="AH76" s="13">
        <f t="shared" si="39"/>
        <v>0</v>
      </c>
      <c r="AI76" s="13">
        <f t="shared" si="40"/>
        <v>0</v>
      </c>
      <c r="AJ76" s="13">
        <f t="shared" si="41"/>
        <v>0</v>
      </c>
      <c r="AK76" s="13">
        <f t="shared" si="42"/>
        <v>0</v>
      </c>
      <c r="AM76" s="14">
        <f t="shared" si="29"/>
        <v>0</v>
      </c>
      <c r="AN76" s="14">
        <f t="shared" si="29"/>
        <v>0</v>
      </c>
      <c r="AO76" s="14">
        <f t="shared" si="29"/>
        <v>0</v>
      </c>
      <c r="AP76" s="14">
        <f t="shared" si="30"/>
        <v>0</v>
      </c>
      <c r="AQ76" s="14">
        <f t="shared" si="30"/>
        <v>0</v>
      </c>
      <c r="AR76" s="14">
        <f t="shared" si="30"/>
        <v>0</v>
      </c>
      <c r="AS76" s="14">
        <f t="shared" si="30"/>
        <v>0</v>
      </c>
      <c r="AT76" s="14">
        <f t="shared" si="30"/>
        <v>0</v>
      </c>
      <c r="AU76" s="14">
        <f t="shared" si="30"/>
        <v>0</v>
      </c>
      <c r="AV76" s="14">
        <f t="shared" si="30"/>
        <v>0</v>
      </c>
      <c r="AW76" s="14">
        <f t="shared" si="30"/>
        <v>0</v>
      </c>
      <c r="AX76" s="14">
        <f t="shared" si="30"/>
        <v>0</v>
      </c>
    </row>
    <row r="77" spans="3:50">
      <c r="C77" s="12"/>
      <c r="D77" s="13"/>
      <c r="E77" s="13"/>
      <c r="F77" s="13"/>
      <c r="G77" s="13"/>
      <c r="H77" s="13"/>
      <c r="I77" s="13"/>
      <c r="J77" s="13"/>
      <c r="K77" s="13"/>
      <c r="L77" s="13"/>
      <c r="M77" s="13"/>
      <c r="N77" s="13"/>
      <c r="O77" s="13"/>
      <c r="P77" s="13"/>
      <c r="Q77" s="13"/>
      <c r="R77" s="13"/>
      <c r="S77" s="13"/>
      <c r="T77" s="13"/>
      <c r="U77" s="13"/>
      <c r="V77" s="13"/>
      <c r="W77" s="13"/>
      <c r="X77" s="13"/>
      <c r="Z77" s="13">
        <f t="shared" si="31"/>
        <v>0</v>
      </c>
      <c r="AA77" s="13">
        <f t="shared" si="32"/>
        <v>0</v>
      </c>
      <c r="AB77" s="13">
        <f t="shared" si="33"/>
        <v>0</v>
      </c>
      <c r="AC77" s="13">
        <f t="shared" si="34"/>
        <v>0</v>
      </c>
      <c r="AD77" s="13">
        <f t="shared" si="35"/>
        <v>0</v>
      </c>
      <c r="AE77" s="13">
        <f t="shared" si="36"/>
        <v>0</v>
      </c>
      <c r="AF77" s="13">
        <f t="shared" si="37"/>
        <v>0</v>
      </c>
      <c r="AG77" s="13">
        <f t="shared" si="38"/>
        <v>0</v>
      </c>
      <c r="AH77" s="13">
        <f t="shared" si="39"/>
        <v>0</v>
      </c>
      <c r="AI77" s="13">
        <f t="shared" si="40"/>
        <v>0</v>
      </c>
      <c r="AJ77" s="13">
        <f t="shared" si="41"/>
        <v>0</v>
      </c>
      <c r="AK77" s="13">
        <f t="shared" si="42"/>
        <v>0</v>
      </c>
      <c r="AM77" s="14">
        <f t="shared" si="29"/>
        <v>0</v>
      </c>
      <c r="AN77" s="14">
        <f t="shared" si="29"/>
        <v>0</v>
      </c>
      <c r="AO77" s="14">
        <f t="shared" si="29"/>
        <v>0</v>
      </c>
      <c r="AP77" s="14">
        <f t="shared" si="30"/>
        <v>0</v>
      </c>
      <c r="AQ77" s="14">
        <f t="shared" si="30"/>
        <v>0</v>
      </c>
      <c r="AR77" s="14">
        <f t="shared" si="30"/>
        <v>0</v>
      </c>
      <c r="AS77" s="14">
        <f t="shared" si="30"/>
        <v>0</v>
      </c>
      <c r="AT77" s="14">
        <f t="shared" si="30"/>
        <v>0</v>
      </c>
      <c r="AU77" s="14">
        <f t="shared" si="30"/>
        <v>0</v>
      </c>
      <c r="AV77" s="14">
        <f t="shared" si="30"/>
        <v>0</v>
      </c>
      <c r="AW77" s="14">
        <f t="shared" si="30"/>
        <v>0</v>
      </c>
      <c r="AX77" s="14">
        <f t="shared" si="30"/>
        <v>0</v>
      </c>
    </row>
    <row r="78" spans="3:50">
      <c r="C78" s="12"/>
      <c r="D78" s="13"/>
      <c r="E78" s="13"/>
      <c r="F78" s="13"/>
      <c r="G78" s="13"/>
      <c r="H78" s="13"/>
      <c r="I78" s="13"/>
      <c r="J78" s="13"/>
      <c r="K78" s="13"/>
      <c r="L78" s="13"/>
      <c r="M78" s="13"/>
      <c r="N78" s="13"/>
      <c r="O78" s="13"/>
      <c r="P78" s="13"/>
      <c r="Q78" s="13"/>
      <c r="R78" s="13"/>
      <c r="S78" s="13"/>
      <c r="T78" s="13"/>
      <c r="U78" s="13"/>
      <c r="V78" s="13"/>
      <c r="W78" s="13"/>
      <c r="X78" s="13"/>
      <c r="Z78" s="13">
        <f t="shared" si="31"/>
        <v>0</v>
      </c>
      <c r="AA78" s="13">
        <f t="shared" si="32"/>
        <v>0</v>
      </c>
      <c r="AB78" s="13">
        <f t="shared" si="33"/>
        <v>0</v>
      </c>
      <c r="AC78" s="13">
        <f t="shared" si="34"/>
        <v>0</v>
      </c>
      <c r="AD78" s="13">
        <f t="shared" si="35"/>
        <v>0</v>
      </c>
      <c r="AE78" s="13">
        <f t="shared" si="36"/>
        <v>0</v>
      </c>
      <c r="AF78" s="13">
        <f t="shared" si="37"/>
        <v>0</v>
      </c>
      <c r="AG78" s="13">
        <f t="shared" si="38"/>
        <v>0</v>
      </c>
      <c r="AH78" s="13">
        <f t="shared" si="39"/>
        <v>0</v>
      </c>
      <c r="AI78" s="13">
        <f t="shared" si="40"/>
        <v>0</v>
      </c>
      <c r="AJ78" s="13">
        <f t="shared" si="41"/>
        <v>0</v>
      </c>
      <c r="AK78" s="13">
        <f t="shared" si="42"/>
        <v>0</v>
      </c>
      <c r="AM78" s="14">
        <f t="shared" si="29"/>
        <v>0</v>
      </c>
      <c r="AN78" s="14">
        <f t="shared" si="29"/>
        <v>0</v>
      </c>
      <c r="AO78" s="14">
        <f t="shared" si="29"/>
        <v>0</v>
      </c>
      <c r="AP78" s="14">
        <f t="shared" si="30"/>
        <v>0</v>
      </c>
      <c r="AQ78" s="14">
        <f t="shared" si="30"/>
        <v>0</v>
      </c>
      <c r="AR78" s="14">
        <f t="shared" si="30"/>
        <v>0</v>
      </c>
      <c r="AS78" s="14">
        <f t="shared" si="30"/>
        <v>0</v>
      </c>
      <c r="AT78" s="14">
        <f t="shared" si="30"/>
        <v>0</v>
      </c>
      <c r="AU78" s="14">
        <f t="shared" si="30"/>
        <v>0</v>
      </c>
      <c r="AV78" s="14">
        <f t="shared" si="30"/>
        <v>0</v>
      </c>
      <c r="AW78" s="14">
        <f t="shared" si="30"/>
        <v>0</v>
      </c>
      <c r="AX78" s="14">
        <f t="shared" si="30"/>
        <v>0</v>
      </c>
    </row>
    <row r="79" spans="3:50">
      <c r="C79" s="12"/>
      <c r="D79" s="13"/>
      <c r="E79" s="13"/>
      <c r="F79" s="13"/>
      <c r="G79" s="13"/>
      <c r="H79" s="13"/>
      <c r="I79" s="13"/>
      <c r="J79" s="13"/>
      <c r="K79" s="13"/>
      <c r="L79" s="13"/>
      <c r="M79" s="13"/>
      <c r="N79" s="13"/>
      <c r="O79" s="13"/>
      <c r="P79" s="13"/>
      <c r="Q79" s="13"/>
      <c r="R79" s="13"/>
      <c r="S79" s="13"/>
      <c r="T79" s="13"/>
      <c r="U79" s="13"/>
      <c r="V79" s="13"/>
      <c r="W79" s="13"/>
      <c r="X79" s="13"/>
      <c r="Z79" s="13">
        <f t="shared" si="31"/>
        <v>0</v>
      </c>
      <c r="AA79" s="13">
        <f t="shared" si="32"/>
        <v>0</v>
      </c>
      <c r="AB79" s="13">
        <f t="shared" si="33"/>
        <v>0</v>
      </c>
      <c r="AC79" s="13">
        <f t="shared" si="34"/>
        <v>0</v>
      </c>
      <c r="AD79" s="13">
        <f t="shared" si="35"/>
        <v>0</v>
      </c>
      <c r="AE79" s="13">
        <f t="shared" si="36"/>
        <v>0</v>
      </c>
      <c r="AF79" s="13">
        <f t="shared" si="37"/>
        <v>0</v>
      </c>
      <c r="AG79" s="13">
        <f t="shared" si="38"/>
        <v>0</v>
      </c>
      <c r="AH79" s="13">
        <f t="shared" si="39"/>
        <v>0</v>
      </c>
      <c r="AI79" s="13">
        <f t="shared" si="40"/>
        <v>0</v>
      </c>
      <c r="AJ79" s="13">
        <f t="shared" si="41"/>
        <v>0</v>
      </c>
      <c r="AK79" s="13">
        <f t="shared" si="42"/>
        <v>0</v>
      </c>
      <c r="AM79" s="14">
        <f t="shared" si="29"/>
        <v>0</v>
      </c>
      <c r="AN79" s="14">
        <f t="shared" si="29"/>
        <v>0</v>
      </c>
      <c r="AO79" s="14">
        <f t="shared" si="29"/>
        <v>0</v>
      </c>
      <c r="AP79" s="14">
        <f t="shared" si="30"/>
        <v>0</v>
      </c>
      <c r="AQ79" s="14">
        <f t="shared" si="30"/>
        <v>0</v>
      </c>
      <c r="AR79" s="14">
        <f t="shared" si="30"/>
        <v>0</v>
      </c>
      <c r="AS79" s="14">
        <f t="shared" si="30"/>
        <v>0</v>
      </c>
      <c r="AT79" s="14">
        <f t="shared" si="30"/>
        <v>0</v>
      </c>
      <c r="AU79" s="14">
        <f t="shared" si="30"/>
        <v>0</v>
      </c>
      <c r="AV79" s="14">
        <f t="shared" si="30"/>
        <v>0</v>
      </c>
      <c r="AW79" s="14">
        <f t="shared" si="30"/>
        <v>0</v>
      </c>
      <c r="AX79" s="14">
        <f t="shared" si="30"/>
        <v>0</v>
      </c>
    </row>
    <row r="80" spans="3:50">
      <c r="C80" s="12"/>
      <c r="D80" s="13"/>
      <c r="E80" s="13"/>
      <c r="F80" s="13"/>
      <c r="G80" s="13"/>
      <c r="H80" s="13"/>
      <c r="I80" s="13"/>
      <c r="J80" s="13"/>
      <c r="K80" s="13"/>
      <c r="L80" s="13"/>
      <c r="M80" s="13"/>
      <c r="N80" s="13"/>
      <c r="O80" s="13"/>
      <c r="P80" s="13"/>
      <c r="Q80" s="13"/>
      <c r="R80" s="13"/>
      <c r="S80" s="13"/>
      <c r="T80" s="13"/>
      <c r="U80" s="13"/>
      <c r="V80" s="13"/>
      <c r="W80" s="13"/>
      <c r="X80" s="13"/>
      <c r="Z80" s="13">
        <f t="shared" si="31"/>
        <v>0</v>
      </c>
      <c r="AA80" s="13">
        <f t="shared" si="32"/>
        <v>0</v>
      </c>
      <c r="AB80" s="13">
        <f t="shared" si="33"/>
        <v>0</v>
      </c>
      <c r="AC80" s="13">
        <f t="shared" si="34"/>
        <v>0</v>
      </c>
      <c r="AD80" s="13">
        <f t="shared" si="35"/>
        <v>0</v>
      </c>
      <c r="AE80" s="13">
        <f t="shared" si="36"/>
        <v>0</v>
      </c>
      <c r="AF80" s="13">
        <f t="shared" si="37"/>
        <v>0</v>
      </c>
      <c r="AG80" s="13">
        <f t="shared" si="38"/>
        <v>0</v>
      </c>
      <c r="AH80" s="13">
        <f t="shared" si="39"/>
        <v>0</v>
      </c>
      <c r="AI80" s="13">
        <f t="shared" si="40"/>
        <v>0</v>
      </c>
      <c r="AJ80" s="13">
        <f t="shared" si="41"/>
        <v>0</v>
      </c>
      <c r="AK80" s="13">
        <f t="shared" si="42"/>
        <v>0</v>
      </c>
      <c r="AM80" s="14">
        <f t="shared" si="29"/>
        <v>0</v>
      </c>
      <c r="AN80" s="14">
        <f t="shared" si="29"/>
        <v>0</v>
      </c>
      <c r="AO80" s="14">
        <f t="shared" si="29"/>
        <v>0</v>
      </c>
      <c r="AP80" s="14">
        <f t="shared" si="30"/>
        <v>0</v>
      </c>
      <c r="AQ80" s="14">
        <f t="shared" si="30"/>
        <v>0</v>
      </c>
      <c r="AR80" s="14">
        <f t="shared" si="30"/>
        <v>0</v>
      </c>
      <c r="AS80" s="14">
        <f t="shared" si="30"/>
        <v>0</v>
      </c>
      <c r="AT80" s="14">
        <f t="shared" si="30"/>
        <v>0</v>
      </c>
      <c r="AU80" s="14">
        <f t="shared" si="30"/>
        <v>0</v>
      </c>
      <c r="AV80" s="14">
        <f t="shared" si="30"/>
        <v>0</v>
      </c>
      <c r="AW80" s="14">
        <f t="shared" si="30"/>
        <v>0</v>
      </c>
      <c r="AX80" s="14">
        <f t="shared" si="30"/>
        <v>0</v>
      </c>
    </row>
    <row r="81" spans="3:50">
      <c r="C81" s="12"/>
      <c r="D81" s="13"/>
      <c r="E81" s="13"/>
      <c r="F81" s="13"/>
      <c r="G81" s="13"/>
      <c r="H81" s="13"/>
      <c r="I81" s="13"/>
      <c r="J81" s="13"/>
      <c r="K81" s="13"/>
      <c r="L81" s="13"/>
      <c r="M81" s="13"/>
      <c r="N81" s="13"/>
      <c r="O81" s="13"/>
      <c r="P81" s="13"/>
      <c r="Q81" s="13"/>
      <c r="R81" s="13"/>
      <c r="S81" s="13"/>
      <c r="T81" s="13"/>
      <c r="U81" s="13"/>
      <c r="V81" s="13"/>
      <c r="W81" s="13"/>
      <c r="X81" s="13"/>
      <c r="Z81" s="13">
        <f t="shared" si="31"/>
        <v>0</v>
      </c>
      <c r="AA81" s="13">
        <f t="shared" si="32"/>
        <v>0</v>
      </c>
      <c r="AB81" s="13">
        <f t="shared" si="33"/>
        <v>0</v>
      </c>
      <c r="AC81" s="13">
        <f t="shared" si="34"/>
        <v>0</v>
      </c>
      <c r="AD81" s="13">
        <f t="shared" si="35"/>
        <v>0</v>
      </c>
      <c r="AE81" s="13">
        <f t="shared" si="36"/>
        <v>0</v>
      </c>
      <c r="AF81" s="13">
        <f t="shared" si="37"/>
        <v>0</v>
      </c>
      <c r="AG81" s="13">
        <f t="shared" si="38"/>
        <v>0</v>
      </c>
      <c r="AH81" s="13">
        <f t="shared" si="39"/>
        <v>0</v>
      </c>
      <c r="AI81" s="13">
        <f t="shared" si="40"/>
        <v>0</v>
      </c>
      <c r="AJ81" s="13">
        <f t="shared" si="41"/>
        <v>0</v>
      </c>
      <c r="AK81" s="13">
        <f t="shared" si="42"/>
        <v>0</v>
      </c>
      <c r="AM81" s="14">
        <f t="shared" si="29"/>
        <v>0</v>
      </c>
      <c r="AN81" s="14">
        <f t="shared" si="29"/>
        <v>0</v>
      </c>
      <c r="AO81" s="14">
        <f t="shared" si="29"/>
        <v>0</v>
      </c>
      <c r="AP81" s="14">
        <f t="shared" si="30"/>
        <v>0</v>
      </c>
      <c r="AQ81" s="14">
        <f t="shared" si="30"/>
        <v>0</v>
      </c>
      <c r="AR81" s="14">
        <f t="shared" si="30"/>
        <v>0</v>
      </c>
      <c r="AS81" s="14">
        <f t="shared" si="30"/>
        <v>0</v>
      </c>
      <c r="AT81" s="14">
        <f t="shared" si="30"/>
        <v>0</v>
      </c>
      <c r="AU81" s="14">
        <f t="shared" si="30"/>
        <v>0</v>
      </c>
      <c r="AV81" s="14">
        <f t="shared" si="30"/>
        <v>0</v>
      </c>
      <c r="AW81" s="14">
        <f t="shared" si="30"/>
        <v>0</v>
      </c>
      <c r="AX81" s="14">
        <f t="shared" si="30"/>
        <v>0</v>
      </c>
    </row>
    <row r="82" spans="3:50">
      <c r="C82" s="12"/>
      <c r="D82" s="13"/>
      <c r="E82" s="13"/>
      <c r="F82" s="13"/>
      <c r="G82" s="13"/>
      <c r="H82" s="13"/>
      <c r="I82" s="13"/>
      <c r="J82" s="13"/>
      <c r="K82" s="13"/>
      <c r="L82" s="13"/>
      <c r="M82" s="13"/>
      <c r="N82" s="13"/>
      <c r="O82" s="13"/>
      <c r="P82" s="13"/>
      <c r="Q82" s="13"/>
      <c r="R82" s="13"/>
      <c r="S82" s="13"/>
      <c r="T82" s="13"/>
      <c r="U82" s="13"/>
      <c r="V82" s="13"/>
      <c r="W82" s="13"/>
      <c r="X82" s="13"/>
      <c r="Z82" s="13">
        <f t="shared" si="31"/>
        <v>0</v>
      </c>
      <c r="AA82" s="13">
        <f t="shared" si="32"/>
        <v>0</v>
      </c>
      <c r="AB82" s="13">
        <f t="shared" si="33"/>
        <v>0</v>
      </c>
      <c r="AC82" s="13">
        <f t="shared" si="34"/>
        <v>0</v>
      </c>
      <c r="AD82" s="13">
        <f t="shared" si="35"/>
        <v>0</v>
      </c>
      <c r="AE82" s="13">
        <f t="shared" si="36"/>
        <v>0</v>
      </c>
      <c r="AF82" s="13">
        <f t="shared" si="37"/>
        <v>0</v>
      </c>
      <c r="AG82" s="13">
        <f t="shared" si="38"/>
        <v>0</v>
      </c>
      <c r="AH82" s="13">
        <f t="shared" si="39"/>
        <v>0</v>
      </c>
      <c r="AI82" s="13">
        <f t="shared" si="40"/>
        <v>0</v>
      </c>
      <c r="AJ82" s="13">
        <f t="shared" si="41"/>
        <v>0</v>
      </c>
      <c r="AK82" s="13">
        <f t="shared" si="42"/>
        <v>0</v>
      </c>
      <c r="AM82" s="14">
        <f t="shared" si="29"/>
        <v>0</v>
      </c>
      <c r="AN82" s="14">
        <f t="shared" si="29"/>
        <v>0</v>
      </c>
      <c r="AO82" s="14">
        <f t="shared" si="29"/>
        <v>0</v>
      </c>
      <c r="AP82" s="14">
        <f t="shared" si="30"/>
        <v>0</v>
      </c>
      <c r="AQ82" s="14">
        <f t="shared" si="30"/>
        <v>0</v>
      </c>
      <c r="AR82" s="14">
        <f t="shared" si="30"/>
        <v>0</v>
      </c>
      <c r="AS82" s="14">
        <f t="shared" si="30"/>
        <v>0</v>
      </c>
      <c r="AT82" s="14">
        <f t="shared" si="30"/>
        <v>0</v>
      </c>
      <c r="AU82" s="14">
        <f t="shared" si="30"/>
        <v>0</v>
      </c>
      <c r="AV82" s="14">
        <f t="shared" si="30"/>
        <v>0</v>
      </c>
      <c r="AW82" s="14">
        <f t="shared" si="30"/>
        <v>0</v>
      </c>
      <c r="AX82" s="14">
        <f t="shared" si="30"/>
        <v>0</v>
      </c>
    </row>
    <row r="83" spans="3:50">
      <c r="C83" s="12"/>
      <c r="D83" s="13"/>
      <c r="E83" s="13"/>
      <c r="F83" s="13"/>
      <c r="G83" s="13"/>
      <c r="H83" s="13"/>
      <c r="I83" s="13"/>
      <c r="J83" s="13"/>
      <c r="K83" s="13"/>
      <c r="L83" s="13"/>
      <c r="M83" s="13"/>
      <c r="N83" s="13"/>
      <c r="O83" s="13"/>
      <c r="P83" s="13"/>
      <c r="Q83" s="13"/>
      <c r="R83" s="13"/>
      <c r="S83" s="13"/>
      <c r="T83" s="13"/>
      <c r="U83" s="13"/>
      <c r="V83" s="13"/>
      <c r="W83" s="13"/>
      <c r="X83" s="13"/>
      <c r="Z83" s="13">
        <f t="shared" si="31"/>
        <v>0</v>
      </c>
      <c r="AA83" s="13">
        <f t="shared" si="32"/>
        <v>0</v>
      </c>
      <c r="AB83" s="13">
        <f t="shared" si="33"/>
        <v>0</v>
      </c>
      <c r="AC83" s="13">
        <f t="shared" si="34"/>
        <v>0</v>
      </c>
      <c r="AD83" s="13">
        <f t="shared" si="35"/>
        <v>0</v>
      </c>
      <c r="AE83" s="13">
        <f t="shared" si="36"/>
        <v>0</v>
      </c>
      <c r="AF83" s="13">
        <f t="shared" si="37"/>
        <v>0</v>
      </c>
      <c r="AG83" s="13">
        <f t="shared" si="38"/>
        <v>0</v>
      </c>
      <c r="AH83" s="13">
        <f t="shared" si="39"/>
        <v>0</v>
      </c>
      <c r="AI83" s="13">
        <f t="shared" si="40"/>
        <v>0</v>
      </c>
      <c r="AJ83" s="13">
        <f t="shared" si="41"/>
        <v>0</v>
      </c>
      <c r="AK83" s="13">
        <f t="shared" si="42"/>
        <v>0</v>
      </c>
      <c r="AM83" s="14">
        <f t="shared" si="29"/>
        <v>0</v>
      </c>
      <c r="AN83" s="14">
        <f t="shared" si="29"/>
        <v>0</v>
      </c>
      <c r="AO83" s="14">
        <f t="shared" si="29"/>
        <v>0</v>
      </c>
      <c r="AP83" s="14">
        <f t="shared" si="30"/>
        <v>0</v>
      </c>
      <c r="AQ83" s="14">
        <f t="shared" si="30"/>
        <v>0</v>
      </c>
      <c r="AR83" s="14">
        <f t="shared" si="30"/>
        <v>0</v>
      </c>
      <c r="AS83" s="14">
        <f t="shared" si="30"/>
        <v>0</v>
      </c>
      <c r="AT83" s="14">
        <f t="shared" si="30"/>
        <v>0</v>
      </c>
      <c r="AU83" s="14">
        <f t="shared" si="30"/>
        <v>0</v>
      </c>
      <c r="AV83" s="14">
        <f t="shared" si="30"/>
        <v>0</v>
      </c>
      <c r="AW83" s="14">
        <f t="shared" si="30"/>
        <v>0</v>
      </c>
      <c r="AX83" s="14">
        <f t="shared" si="30"/>
        <v>0</v>
      </c>
    </row>
    <row r="84" spans="3:50">
      <c r="C84" s="12"/>
      <c r="D84" s="13"/>
      <c r="E84" s="13"/>
      <c r="F84" s="13"/>
      <c r="G84" s="13"/>
      <c r="H84" s="13"/>
      <c r="I84" s="13"/>
      <c r="J84" s="13"/>
      <c r="K84" s="13"/>
      <c r="L84" s="13"/>
      <c r="M84" s="13"/>
      <c r="N84" s="13"/>
      <c r="O84" s="13"/>
      <c r="P84" s="13"/>
      <c r="Q84" s="13"/>
      <c r="R84" s="13"/>
      <c r="S84" s="13"/>
      <c r="T84" s="13"/>
      <c r="U84" s="13"/>
      <c r="V84" s="13"/>
      <c r="W84" s="13"/>
      <c r="X84" s="13"/>
      <c r="Z84" s="13">
        <f t="shared" si="31"/>
        <v>0</v>
      </c>
      <c r="AA84" s="13">
        <f t="shared" si="32"/>
        <v>0</v>
      </c>
      <c r="AB84" s="13">
        <f t="shared" si="33"/>
        <v>0</v>
      </c>
      <c r="AC84" s="13">
        <f t="shared" si="34"/>
        <v>0</v>
      </c>
      <c r="AD84" s="13">
        <f t="shared" si="35"/>
        <v>0</v>
      </c>
      <c r="AE84" s="13">
        <f t="shared" si="36"/>
        <v>0</v>
      </c>
      <c r="AF84" s="13">
        <f t="shared" si="37"/>
        <v>0</v>
      </c>
      <c r="AG84" s="13">
        <f t="shared" si="38"/>
        <v>0</v>
      </c>
      <c r="AH84" s="13">
        <f t="shared" si="39"/>
        <v>0</v>
      </c>
      <c r="AI84" s="13">
        <f t="shared" si="40"/>
        <v>0</v>
      </c>
      <c r="AJ84" s="13">
        <f t="shared" si="41"/>
        <v>0</v>
      </c>
      <c r="AK84" s="13">
        <f t="shared" si="42"/>
        <v>0</v>
      </c>
      <c r="AM84" s="14">
        <f t="shared" si="29"/>
        <v>0</v>
      </c>
      <c r="AN84" s="14">
        <f t="shared" si="29"/>
        <v>0</v>
      </c>
      <c r="AO84" s="14">
        <f t="shared" si="29"/>
        <v>0</v>
      </c>
      <c r="AP84" s="14">
        <f t="shared" si="30"/>
        <v>0</v>
      </c>
      <c r="AQ84" s="14">
        <f t="shared" si="30"/>
        <v>0</v>
      </c>
      <c r="AR84" s="14">
        <f t="shared" si="30"/>
        <v>0</v>
      </c>
      <c r="AS84" s="14">
        <f t="shared" si="30"/>
        <v>0</v>
      </c>
      <c r="AT84" s="14">
        <f t="shared" si="30"/>
        <v>0</v>
      </c>
      <c r="AU84" s="14">
        <f t="shared" si="30"/>
        <v>0</v>
      </c>
      <c r="AV84" s="14">
        <f t="shared" si="30"/>
        <v>0</v>
      </c>
      <c r="AW84" s="14">
        <f t="shared" si="30"/>
        <v>0</v>
      </c>
      <c r="AX84" s="14">
        <f t="shared" si="30"/>
        <v>0</v>
      </c>
    </row>
    <row r="85" spans="3:50">
      <c r="C85" s="12"/>
      <c r="D85" s="13"/>
      <c r="E85" s="13"/>
      <c r="F85" s="13"/>
      <c r="G85" s="13"/>
      <c r="H85" s="13"/>
      <c r="I85" s="13"/>
      <c r="J85" s="13"/>
      <c r="K85" s="13"/>
      <c r="L85" s="13"/>
      <c r="M85" s="13"/>
      <c r="N85" s="13"/>
      <c r="O85" s="13"/>
      <c r="P85" s="13"/>
      <c r="Q85" s="13"/>
      <c r="R85" s="13"/>
      <c r="S85" s="13"/>
      <c r="T85" s="13"/>
      <c r="U85" s="13"/>
      <c r="V85" s="13"/>
      <c r="W85" s="13"/>
      <c r="X85" s="13"/>
      <c r="Z85" s="13">
        <f t="shared" si="31"/>
        <v>0</v>
      </c>
      <c r="AA85" s="13">
        <f t="shared" si="32"/>
        <v>0</v>
      </c>
      <c r="AB85" s="13">
        <f t="shared" si="33"/>
        <v>0</v>
      </c>
      <c r="AC85" s="13">
        <f t="shared" si="34"/>
        <v>0</v>
      </c>
      <c r="AD85" s="13">
        <f t="shared" si="35"/>
        <v>0</v>
      </c>
      <c r="AE85" s="13">
        <f t="shared" si="36"/>
        <v>0</v>
      </c>
      <c r="AF85" s="13">
        <f t="shared" si="37"/>
        <v>0</v>
      </c>
      <c r="AG85" s="13">
        <f t="shared" si="38"/>
        <v>0</v>
      </c>
      <c r="AH85" s="13">
        <f t="shared" si="39"/>
        <v>0</v>
      </c>
      <c r="AI85" s="13">
        <f t="shared" si="40"/>
        <v>0</v>
      </c>
      <c r="AJ85" s="13">
        <f t="shared" si="41"/>
        <v>0</v>
      </c>
      <c r="AK85" s="13">
        <f t="shared" si="42"/>
        <v>0</v>
      </c>
      <c r="AM85" s="14">
        <f t="shared" si="29"/>
        <v>0</v>
      </c>
      <c r="AN85" s="14">
        <f t="shared" si="29"/>
        <v>0</v>
      </c>
      <c r="AO85" s="14">
        <f t="shared" si="29"/>
        <v>0</v>
      </c>
      <c r="AP85" s="14">
        <f t="shared" si="30"/>
        <v>0</v>
      </c>
      <c r="AQ85" s="14">
        <f t="shared" si="30"/>
        <v>0</v>
      </c>
      <c r="AR85" s="14">
        <f t="shared" si="30"/>
        <v>0</v>
      </c>
      <c r="AS85" s="14">
        <f t="shared" si="30"/>
        <v>0</v>
      </c>
      <c r="AT85" s="14">
        <f t="shared" si="30"/>
        <v>0</v>
      </c>
      <c r="AU85" s="14">
        <f t="shared" si="30"/>
        <v>0</v>
      </c>
      <c r="AV85" s="14">
        <f t="shared" si="30"/>
        <v>0</v>
      </c>
      <c r="AW85" s="14">
        <f t="shared" si="30"/>
        <v>0</v>
      </c>
      <c r="AX85" s="14">
        <f t="shared" si="30"/>
        <v>0</v>
      </c>
    </row>
    <row r="86" spans="3:50">
      <c r="C86" s="12"/>
      <c r="D86" s="13"/>
      <c r="E86" s="13"/>
      <c r="F86" s="13"/>
      <c r="G86" s="13"/>
      <c r="H86" s="13"/>
      <c r="I86" s="13"/>
      <c r="J86" s="13"/>
      <c r="K86" s="13"/>
      <c r="L86" s="13"/>
      <c r="M86" s="13"/>
      <c r="N86" s="13"/>
      <c r="O86" s="13"/>
      <c r="P86" s="13"/>
      <c r="Q86" s="13"/>
      <c r="R86" s="13"/>
      <c r="S86" s="13"/>
      <c r="T86" s="13"/>
      <c r="U86" s="13"/>
      <c r="V86" s="13"/>
      <c r="W86" s="13"/>
      <c r="X86" s="13"/>
      <c r="Z86" s="13">
        <f t="shared" si="31"/>
        <v>0</v>
      </c>
      <c r="AA86" s="13">
        <f t="shared" si="32"/>
        <v>0</v>
      </c>
      <c r="AB86" s="13">
        <f t="shared" si="33"/>
        <v>0</v>
      </c>
      <c r="AC86" s="13">
        <f t="shared" si="34"/>
        <v>0</v>
      </c>
      <c r="AD86" s="13">
        <f t="shared" si="35"/>
        <v>0</v>
      </c>
      <c r="AE86" s="13">
        <f t="shared" si="36"/>
        <v>0</v>
      </c>
      <c r="AF86" s="13">
        <f t="shared" si="37"/>
        <v>0</v>
      </c>
      <c r="AG86" s="13">
        <f t="shared" si="38"/>
        <v>0</v>
      </c>
      <c r="AH86" s="13">
        <f t="shared" si="39"/>
        <v>0</v>
      </c>
      <c r="AI86" s="13">
        <f t="shared" si="40"/>
        <v>0</v>
      </c>
      <c r="AJ86" s="13">
        <f t="shared" si="41"/>
        <v>0</v>
      </c>
      <c r="AK86" s="13">
        <f t="shared" si="42"/>
        <v>0</v>
      </c>
      <c r="AM86" s="14">
        <f t="shared" si="29"/>
        <v>0</v>
      </c>
      <c r="AN86" s="14">
        <f t="shared" si="29"/>
        <v>0</v>
      </c>
      <c r="AO86" s="14">
        <f t="shared" si="29"/>
        <v>0</v>
      </c>
      <c r="AP86" s="14">
        <f t="shared" si="30"/>
        <v>0</v>
      </c>
      <c r="AQ86" s="14">
        <f t="shared" si="30"/>
        <v>0</v>
      </c>
      <c r="AR86" s="14">
        <f t="shared" si="30"/>
        <v>0</v>
      </c>
      <c r="AS86" s="14">
        <f t="shared" si="30"/>
        <v>0</v>
      </c>
      <c r="AT86" s="14">
        <f t="shared" si="30"/>
        <v>0</v>
      </c>
      <c r="AU86" s="14">
        <f t="shared" si="30"/>
        <v>0</v>
      </c>
      <c r="AV86" s="14">
        <f t="shared" si="30"/>
        <v>0</v>
      </c>
      <c r="AW86" s="14">
        <f t="shared" si="30"/>
        <v>0</v>
      </c>
      <c r="AX86" s="14">
        <f t="shared" si="30"/>
        <v>0</v>
      </c>
    </row>
    <row r="87" spans="3:50">
      <c r="C87" s="12"/>
      <c r="D87" s="13"/>
      <c r="E87" s="13"/>
      <c r="F87" s="13"/>
      <c r="G87" s="13"/>
      <c r="H87" s="13"/>
      <c r="I87" s="13"/>
      <c r="J87" s="13"/>
      <c r="K87" s="13"/>
      <c r="L87" s="13"/>
      <c r="M87" s="13"/>
      <c r="N87" s="13"/>
      <c r="O87" s="13"/>
      <c r="P87" s="13"/>
      <c r="Q87" s="13"/>
      <c r="R87" s="13"/>
      <c r="S87" s="13"/>
      <c r="T87" s="13"/>
      <c r="U87" s="13"/>
      <c r="V87" s="13"/>
      <c r="W87" s="13"/>
      <c r="X87" s="13"/>
      <c r="Z87" s="13">
        <f t="shared" si="31"/>
        <v>0</v>
      </c>
      <c r="AA87" s="13">
        <f t="shared" si="32"/>
        <v>0</v>
      </c>
      <c r="AB87" s="13">
        <f t="shared" si="33"/>
        <v>0</v>
      </c>
      <c r="AC87" s="13">
        <f t="shared" si="34"/>
        <v>0</v>
      </c>
      <c r="AD87" s="13">
        <f t="shared" si="35"/>
        <v>0</v>
      </c>
      <c r="AE87" s="13">
        <f t="shared" si="36"/>
        <v>0</v>
      </c>
      <c r="AF87" s="13">
        <f t="shared" si="37"/>
        <v>0</v>
      </c>
      <c r="AG87" s="13">
        <f t="shared" si="38"/>
        <v>0</v>
      </c>
      <c r="AH87" s="13">
        <f t="shared" si="39"/>
        <v>0</v>
      </c>
      <c r="AI87" s="13">
        <f t="shared" si="40"/>
        <v>0</v>
      </c>
      <c r="AJ87" s="13">
        <f t="shared" si="41"/>
        <v>0</v>
      </c>
      <c r="AK87" s="13">
        <f t="shared" si="42"/>
        <v>0</v>
      </c>
      <c r="AM87" s="14">
        <f t="shared" si="29"/>
        <v>0</v>
      </c>
      <c r="AN87" s="14">
        <f t="shared" si="29"/>
        <v>0</v>
      </c>
      <c r="AO87" s="14">
        <f t="shared" si="29"/>
        <v>0</v>
      </c>
      <c r="AP87" s="14">
        <f t="shared" si="30"/>
        <v>0</v>
      </c>
      <c r="AQ87" s="14">
        <f t="shared" si="30"/>
        <v>0</v>
      </c>
      <c r="AR87" s="14">
        <f t="shared" si="30"/>
        <v>0</v>
      </c>
      <c r="AS87" s="14">
        <f t="shared" si="30"/>
        <v>0</v>
      </c>
      <c r="AT87" s="14">
        <f t="shared" si="30"/>
        <v>0</v>
      </c>
      <c r="AU87" s="14">
        <f t="shared" si="30"/>
        <v>0</v>
      </c>
      <c r="AV87" s="14">
        <f t="shared" si="30"/>
        <v>0</v>
      </c>
      <c r="AW87" s="14">
        <f t="shared" si="30"/>
        <v>0</v>
      </c>
      <c r="AX87" s="14">
        <f t="shared" si="30"/>
        <v>0</v>
      </c>
    </row>
    <row r="88" spans="3:50">
      <c r="C88" s="12"/>
      <c r="D88" s="13"/>
      <c r="E88" s="13"/>
      <c r="F88" s="13"/>
      <c r="G88" s="13"/>
      <c r="H88" s="13"/>
      <c r="I88" s="13"/>
      <c r="J88" s="13"/>
      <c r="K88" s="13"/>
      <c r="L88" s="13"/>
      <c r="M88" s="13"/>
      <c r="N88" s="13"/>
      <c r="O88" s="13"/>
      <c r="P88" s="13"/>
      <c r="Q88" s="13"/>
      <c r="R88" s="13"/>
      <c r="S88" s="13"/>
      <c r="T88" s="13"/>
      <c r="U88" s="13"/>
      <c r="V88" s="13"/>
      <c r="W88" s="13"/>
      <c r="X88" s="13"/>
      <c r="Z88" s="13">
        <f t="shared" si="31"/>
        <v>0</v>
      </c>
      <c r="AA88" s="13">
        <f t="shared" si="32"/>
        <v>0</v>
      </c>
      <c r="AB88" s="13">
        <f t="shared" si="33"/>
        <v>0</v>
      </c>
      <c r="AC88" s="13">
        <f t="shared" si="34"/>
        <v>0</v>
      </c>
      <c r="AD88" s="13">
        <f t="shared" si="35"/>
        <v>0</v>
      </c>
      <c r="AE88" s="13">
        <f t="shared" si="36"/>
        <v>0</v>
      </c>
      <c r="AF88" s="13">
        <f t="shared" si="37"/>
        <v>0</v>
      </c>
      <c r="AG88" s="13">
        <f t="shared" si="38"/>
        <v>0</v>
      </c>
      <c r="AH88" s="13">
        <f t="shared" si="39"/>
        <v>0</v>
      </c>
      <c r="AI88" s="13">
        <f t="shared" si="40"/>
        <v>0</v>
      </c>
      <c r="AJ88" s="13">
        <f t="shared" si="41"/>
        <v>0</v>
      </c>
      <c r="AK88" s="13">
        <f t="shared" si="42"/>
        <v>0</v>
      </c>
      <c r="AM88" s="14">
        <f t="shared" si="29"/>
        <v>0</v>
      </c>
      <c r="AN88" s="14">
        <f t="shared" si="29"/>
        <v>0</v>
      </c>
      <c r="AO88" s="14">
        <f t="shared" si="29"/>
        <v>0</v>
      </c>
      <c r="AP88" s="14">
        <f t="shared" si="30"/>
        <v>0</v>
      </c>
      <c r="AQ88" s="14">
        <f t="shared" si="30"/>
        <v>0</v>
      </c>
      <c r="AR88" s="14">
        <f t="shared" si="30"/>
        <v>0</v>
      </c>
      <c r="AS88" s="14">
        <f t="shared" si="30"/>
        <v>0</v>
      </c>
      <c r="AT88" s="14">
        <f t="shared" si="30"/>
        <v>0</v>
      </c>
      <c r="AU88" s="14">
        <f t="shared" si="30"/>
        <v>0</v>
      </c>
      <c r="AV88" s="14">
        <f t="shared" si="30"/>
        <v>0</v>
      </c>
      <c r="AW88" s="14">
        <f t="shared" si="30"/>
        <v>0</v>
      </c>
      <c r="AX88" s="14">
        <f t="shared" si="30"/>
        <v>0</v>
      </c>
    </row>
    <row r="89" spans="3:50">
      <c r="C89" s="12"/>
      <c r="D89" s="13"/>
      <c r="E89" s="13"/>
      <c r="F89" s="13"/>
      <c r="G89" s="13"/>
      <c r="H89" s="13"/>
      <c r="I89" s="13"/>
      <c r="J89" s="13"/>
      <c r="K89" s="13"/>
      <c r="L89" s="13"/>
      <c r="M89" s="13"/>
      <c r="N89" s="13"/>
      <c r="O89" s="13"/>
      <c r="P89" s="13"/>
      <c r="Q89" s="13"/>
      <c r="R89" s="13"/>
      <c r="S89" s="13"/>
      <c r="T89" s="13"/>
      <c r="U89" s="13"/>
      <c r="V89" s="13"/>
      <c r="W89" s="13"/>
      <c r="X89" s="13"/>
      <c r="Z89" s="13">
        <f t="shared" si="31"/>
        <v>0</v>
      </c>
      <c r="AA89" s="13">
        <f t="shared" si="32"/>
        <v>0</v>
      </c>
      <c r="AB89" s="13">
        <f t="shared" si="33"/>
        <v>0</v>
      </c>
      <c r="AC89" s="13">
        <f t="shared" si="34"/>
        <v>0</v>
      </c>
      <c r="AD89" s="13">
        <f t="shared" si="35"/>
        <v>0</v>
      </c>
      <c r="AE89" s="13">
        <f t="shared" si="36"/>
        <v>0</v>
      </c>
      <c r="AF89" s="13">
        <f t="shared" si="37"/>
        <v>0</v>
      </c>
      <c r="AG89" s="13">
        <f t="shared" si="38"/>
        <v>0</v>
      </c>
      <c r="AH89" s="13">
        <f t="shared" si="39"/>
        <v>0</v>
      </c>
      <c r="AI89" s="13">
        <f t="shared" si="40"/>
        <v>0</v>
      </c>
      <c r="AJ89" s="13">
        <f t="shared" si="41"/>
        <v>0</v>
      </c>
      <c r="AK89" s="13">
        <f t="shared" si="42"/>
        <v>0</v>
      </c>
      <c r="AM89" s="14">
        <f t="shared" si="29"/>
        <v>0</v>
      </c>
      <c r="AN89" s="14">
        <f t="shared" si="29"/>
        <v>0</v>
      </c>
      <c r="AO89" s="14">
        <f t="shared" si="29"/>
        <v>0</v>
      </c>
      <c r="AP89" s="14">
        <f t="shared" si="30"/>
        <v>0</v>
      </c>
      <c r="AQ89" s="14">
        <f t="shared" si="30"/>
        <v>0</v>
      </c>
      <c r="AR89" s="14">
        <f t="shared" si="30"/>
        <v>0</v>
      </c>
      <c r="AS89" s="14">
        <f t="shared" si="30"/>
        <v>0</v>
      </c>
      <c r="AT89" s="14">
        <f t="shared" si="30"/>
        <v>0</v>
      </c>
      <c r="AU89" s="14">
        <f t="shared" si="30"/>
        <v>0</v>
      </c>
      <c r="AV89" s="14">
        <f t="shared" si="30"/>
        <v>0</v>
      </c>
      <c r="AW89" s="14">
        <f t="shared" si="30"/>
        <v>0</v>
      </c>
      <c r="AX89" s="14">
        <f t="shared" si="30"/>
        <v>0</v>
      </c>
    </row>
    <row r="90" spans="3:50">
      <c r="C90" s="12"/>
      <c r="D90" s="13"/>
      <c r="E90" s="13"/>
      <c r="F90" s="13"/>
      <c r="G90" s="13"/>
      <c r="H90" s="13"/>
      <c r="I90" s="13"/>
      <c r="J90" s="13"/>
      <c r="K90" s="13"/>
      <c r="L90" s="13"/>
      <c r="M90" s="13"/>
      <c r="N90" s="13"/>
      <c r="O90" s="13"/>
      <c r="P90" s="13"/>
      <c r="Q90" s="13"/>
      <c r="R90" s="13"/>
      <c r="S90" s="13"/>
      <c r="T90" s="13"/>
      <c r="U90" s="13"/>
      <c r="V90" s="13"/>
      <c r="W90" s="13"/>
      <c r="X90" s="13"/>
      <c r="Z90" s="13">
        <f t="shared" si="31"/>
        <v>0</v>
      </c>
      <c r="AA90" s="13">
        <f t="shared" si="32"/>
        <v>0</v>
      </c>
      <c r="AB90" s="13">
        <f t="shared" si="33"/>
        <v>0</v>
      </c>
      <c r="AC90" s="13">
        <f t="shared" si="34"/>
        <v>0</v>
      </c>
      <c r="AD90" s="13">
        <f t="shared" si="35"/>
        <v>0</v>
      </c>
      <c r="AE90" s="13">
        <f t="shared" si="36"/>
        <v>0</v>
      </c>
      <c r="AF90" s="13">
        <f t="shared" si="37"/>
        <v>0</v>
      </c>
      <c r="AG90" s="13">
        <f t="shared" si="38"/>
        <v>0</v>
      </c>
      <c r="AH90" s="13">
        <f t="shared" si="39"/>
        <v>0</v>
      </c>
      <c r="AI90" s="13">
        <f t="shared" si="40"/>
        <v>0</v>
      </c>
      <c r="AJ90" s="13">
        <f t="shared" si="41"/>
        <v>0</v>
      </c>
      <c r="AK90" s="13">
        <f t="shared" si="42"/>
        <v>0</v>
      </c>
      <c r="AM90" s="14">
        <f t="shared" si="29"/>
        <v>0</v>
      </c>
      <c r="AN90" s="14">
        <f t="shared" si="29"/>
        <v>0</v>
      </c>
      <c r="AO90" s="14">
        <f t="shared" si="29"/>
        <v>0</v>
      </c>
      <c r="AP90" s="14">
        <f t="shared" si="30"/>
        <v>0</v>
      </c>
      <c r="AQ90" s="14">
        <f t="shared" si="30"/>
        <v>0</v>
      </c>
      <c r="AR90" s="14">
        <f t="shared" si="30"/>
        <v>0</v>
      </c>
      <c r="AS90" s="14">
        <f t="shared" si="30"/>
        <v>0</v>
      </c>
      <c r="AT90" s="14">
        <f t="shared" si="30"/>
        <v>0</v>
      </c>
      <c r="AU90" s="14">
        <f t="shared" si="30"/>
        <v>0</v>
      </c>
      <c r="AV90" s="14">
        <f t="shared" si="30"/>
        <v>0</v>
      </c>
      <c r="AW90" s="14">
        <f t="shared" si="30"/>
        <v>0</v>
      </c>
      <c r="AX90" s="14">
        <f t="shared" si="30"/>
        <v>0</v>
      </c>
    </row>
    <row r="91" spans="3:50">
      <c r="C91" s="12"/>
      <c r="D91" s="13"/>
      <c r="E91" s="13"/>
      <c r="F91" s="13"/>
      <c r="G91" s="13"/>
      <c r="H91" s="13"/>
      <c r="I91" s="13"/>
      <c r="J91" s="13"/>
      <c r="K91" s="13"/>
      <c r="L91" s="13"/>
      <c r="M91" s="13"/>
      <c r="N91" s="13"/>
      <c r="O91" s="13"/>
      <c r="P91" s="13"/>
      <c r="Q91" s="13"/>
      <c r="R91" s="13"/>
      <c r="S91" s="13"/>
      <c r="T91" s="13"/>
      <c r="U91" s="13"/>
      <c r="V91" s="13"/>
      <c r="W91" s="13"/>
      <c r="X91" s="13"/>
      <c r="Z91" s="13">
        <f t="shared" si="31"/>
        <v>0</v>
      </c>
      <c r="AA91" s="13">
        <f t="shared" si="32"/>
        <v>0</v>
      </c>
      <c r="AB91" s="13">
        <f t="shared" si="33"/>
        <v>0</v>
      </c>
      <c r="AC91" s="13">
        <f t="shared" si="34"/>
        <v>0</v>
      </c>
      <c r="AD91" s="13">
        <f t="shared" si="35"/>
        <v>0</v>
      </c>
      <c r="AE91" s="13">
        <f t="shared" si="36"/>
        <v>0</v>
      </c>
      <c r="AF91" s="13">
        <f t="shared" si="37"/>
        <v>0</v>
      </c>
      <c r="AG91" s="13">
        <f t="shared" si="38"/>
        <v>0</v>
      </c>
      <c r="AH91" s="13">
        <f t="shared" si="39"/>
        <v>0</v>
      </c>
      <c r="AI91" s="13">
        <f t="shared" si="40"/>
        <v>0</v>
      </c>
      <c r="AJ91" s="13">
        <f t="shared" si="41"/>
        <v>0</v>
      </c>
      <c r="AK91" s="13">
        <f t="shared" si="42"/>
        <v>0</v>
      </c>
      <c r="AM91" s="14">
        <f t="shared" si="29"/>
        <v>0</v>
      </c>
      <c r="AN91" s="14">
        <f t="shared" si="29"/>
        <v>0</v>
      </c>
      <c r="AO91" s="14">
        <f t="shared" si="29"/>
        <v>0</v>
      </c>
      <c r="AP91" s="14">
        <f t="shared" si="30"/>
        <v>0</v>
      </c>
      <c r="AQ91" s="14">
        <f t="shared" si="30"/>
        <v>0</v>
      </c>
      <c r="AR91" s="14">
        <f t="shared" si="30"/>
        <v>0</v>
      </c>
      <c r="AS91" s="14">
        <f t="shared" si="30"/>
        <v>0</v>
      </c>
      <c r="AT91" s="14">
        <f t="shared" si="30"/>
        <v>0</v>
      </c>
      <c r="AU91" s="14">
        <f t="shared" si="30"/>
        <v>0</v>
      </c>
      <c r="AV91" s="14">
        <f t="shared" si="30"/>
        <v>0</v>
      </c>
      <c r="AW91" s="14">
        <f t="shared" si="30"/>
        <v>0</v>
      </c>
      <c r="AX91" s="14">
        <f t="shared" si="30"/>
        <v>0</v>
      </c>
    </row>
    <row r="92" spans="3:50">
      <c r="C92" s="12"/>
      <c r="D92" s="13"/>
      <c r="E92" s="13"/>
      <c r="F92" s="13"/>
      <c r="G92" s="13"/>
      <c r="H92" s="13"/>
      <c r="I92" s="13"/>
      <c r="J92" s="13"/>
      <c r="K92" s="13"/>
      <c r="L92" s="13"/>
      <c r="M92" s="13"/>
      <c r="N92" s="13"/>
      <c r="O92" s="13"/>
      <c r="P92" s="13"/>
      <c r="Q92" s="13"/>
      <c r="R92" s="13"/>
      <c r="S92" s="13"/>
      <c r="T92" s="13"/>
      <c r="U92" s="13"/>
      <c r="V92" s="13"/>
      <c r="W92" s="13"/>
      <c r="X92" s="13"/>
      <c r="Z92" s="13">
        <f t="shared" si="31"/>
        <v>0</v>
      </c>
      <c r="AA92" s="13">
        <f t="shared" si="32"/>
        <v>0</v>
      </c>
      <c r="AB92" s="13">
        <f t="shared" si="33"/>
        <v>0</v>
      </c>
      <c r="AC92" s="13">
        <f t="shared" si="34"/>
        <v>0</v>
      </c>
      <c r="AD92" s="13">
        <f t="shared" si="35"/>
        <v>0</v>
      </c>
      <c r="AE92" s="13">
        <f t="shared" si="36"/>
        <v>0</v>
      </c>
      <c r="AF92" s="13">
        <f t="shared" si="37"/>
        <v>0</v>
      </c>
      <c r="AG92" s="13">
        <f t="shared" si="38"/>
        <v>0</v>
      </c>
      <c r="AH92" s="13">
        <f t="shared" si="39"/>
        <v>0</v>
      </c>
      <c r="AI92" s="13">
        <f t="shared" si="40"/>
        <v>0</v>
      </c>
      <c r="AJ92" s="13">
        <f t="shared" si="41"/>
        <v>0</v>
      </c>
      <c r="AK92" s="13">
        <f t="shared" si="42"/>
        <v>0</v>
      </c>
      <c r="AM92" s="14">
        <f t="shared" si="29"/>
        <v>0</v>
      </c>
      <c r="AN92" s="14">
        <f t="shared" si="29"/>
        <v>0</v>
      </c>
      <c r="AO92" s="14">
        <f t="shared" si="29"/>
        <v>0</v>
      </c>
      <c r="AP92" s="14">
        <f t="shared" si="30"/>
        <v>0</v>
      </c>
      <c r="AQ92" s="14">
        <f t="shared" si="30"/>
        <v>0</v>
      </c>
      <c r="AR92" s="14">
        <f t="shared" si="30"/>
        <v>0</v>
      </c>
      <c r="AS92" s="14">
        <f t="shared" si="30"/>
        <v>0</v>
      </c>
      <c r="AT92" s="14">
        <f t="shared" si="30"/>
        <v>0</v>
      </c>
      <c r="AU92" s="14">
        <f t="shared" si="30"/>
        <v>0</v>
      </c>
      <c r="AV92" s="14">
        <f t="shared" si="30"/>
        <v>0</v>
      </c>
      <c r="AW92" s="14">
        <f t="shared" si="30"/>
        <v>0</v>
      </c>
      <c r="AX92" s="14">
        <f t="shared" si="30"/>
        <v>0</v>
      </c>
    </row>
    <row r="93" spans="3:50">
      <c r="C93" s="12"/>
      <c r="D93" s="13"/>
      <c r="E93" s="13"/>
      <c r="F93" s="13"/>
      <c r="G93" s="13"/>
      <c r="H93" s="13"/>
      <c r="I93" s="13"/>
      <c r="J93" s="13"/>
      <c r="K93" s="13"/>
      <c r="L93" s="13"/>
      <c r="M93" s="13"/>
      <c r="N93" s="13"/>
      <c r="O93" s="13"/>
      <c r="P93" s="13"/>
      <c r="Q93" s="13"/>
      <c r="R93" s="13"/>
      <c r="S93" s="13"/>
      <c r="T93" s="13"/>
      <c r="U93" s="13"/>
      <c r="V93" s="13"/>
      <c r="W93" s="13"/>
      <c r="X93" s="13"/>
      <c r="Z93" s="13">
        <f t="shared" si="31"/>
        <v>0</v>
      </c>
      <c r="AA93" s="13">
        <f t="shared" si="32"/>
        <v>0</v>
      </c>
      <c r="AB93" s="13">
        <f t="shared" si="33"/>
        <v>0</v>
      </c>
      <c r="AC93" s="13">
        <f t="shared" si="34"/>
        <v>0</v>
      </c>
      <c r="AD93" s="13">
        <f t="shared" si="35"/>
        <v>0</v>
      </c>
      <c r="AE93" s="13">
        <f t="shared" si="36"/>
        <v>0</v>
      </c>
      <c r="AF93" s="13">
        <f t="shared" si="37"/>
        <v>0</v>
      </c>
      <c r="AG93" s="13">
        <f t="shared" si="38"/>
        <v>0</v>
      </c>
      <c r="AH93" s="13">
        <f t="shared" si="39"/>
        <v>0</v>
      </c>
      <c r="AI93" s="13">
        <f t="shared" si="40"/>
        <v>0</v>
      </c>
      <c r="AJ93" s="13">
        <f t="shared" si="41"/>
        <v>0</v>
      </c>
      <c r="AK93" s="13">
        <f t="shared" si="42"/>
        <v>0</v>
      </c>
      <c r="AM93" s="14">
        <f t="shared" si="29"/>
        <v>0</v>
      </c>
      <c r="AN93" s="14">
        <f t="shared" si="29"/>
        <v>0</v>
      </c>
      <c r="AO93" s="14">
        <f t="shared" si="29"/>
        <v>0</v>
      </c>
      <c r="AP93" s="14">
        <f t="shared" si="30"/>
        <v>0</v>
      </c>
      <c r="AQ93" s="14">
        <f t="shared" si="30"/>
        <v>0</v>
      </c>
      <c r="AR93" s="14">
        <f t="shared" si="30"/>
        <v>0</v>
      </c>
      <c r="AS93" s="14">
        <f t="shared" si="30"/>
        <v>0</v>
      </c>
      <c r="AT93" s="14">
        <f t="shared" si="30"/>
        <v>0</v>
      </c>
      <c r="AU93" s="14">
        <f t="shared" si="30"/>
        <v>0</v>
      </c>
      <c r="AV93" s="14">
        <f t="shared" si="30"/>
        <v>0</v>
      </c>
      <c r="AW93" s="14">
        <f t="shared" si="30"/>
        <v>0</v>
      </c>
      <c r="AX93" s="14">
        <f t="shared" si="30"/>
        <v>0</v>
      </c>
    </row>
    <row r="94" spans="3:50">
      <c r="C94" s="12"/>
      <c r="D94" s="13"/>
      <c r="E94" s="13"/>
      <c r="F94" s="13"/>
      <c r="G94" s="13"/>
      <c r="H94" s="13"/>
      <c r="I94" s="13"/>
      <c r="J94" s="13"/>
      <c r="K94" s="13"/>
      <c r="L94" s="13"/>
      <c r="M94" s="13"/>
      <c r="N94" s="13"/>
      <c r="O94" s="13"/>
      <c r="P94" s="13"/>
      <c r="Q94" s="13"/>
      <c r="R94" s="13"/>
      <c r="S94" s="13"/>
      <c r="T94" s="13"/>
      <c r="U94" s="13"/>
      <c r="V94" s="13"/>
      <c r="W94" s="13"/>
      <c r="X94" s="13"/>
      <c r="Z94" s="13">
        <f t="shared" si="31"/>
        <v>0</v>
      </c>
      <c r="AA94" s="13">
        <f t="shared" si="32"/>
        <v>0</v>
      </c>
      <c r="AB94" s="13">
        <f t="shared" si="33"/>
        <v>0</v>
      </c>
      <c r="AC94" s="13">
        <f t="shared" si="34"/>
        <v>0</v>
      </c>
      <c r="AD94" s="13">
        <f t="shared" si="35"/>
        <v>0</v>
      </c>
      <c r="AE94" s="13">
        <f t="shared" si="36"/>
        <v>0</v>
      </c>
      <c r="AF94" s="13">
        <f t="shared" si="37"/>
        <v>0</v>
      </c>
      <c r="AG94" s="13">
        <f t="shared" si="38"/>
        <v>0</v>
      </c>
      <c r="AH94" s="13">
        <f t="shared" si="39"/>
        <v>0</v>
      </c>
      <c r="AI94" s="13">
        <f t="shared" si="40"/>
        <v>0</v>
      </c>
      <c r="AJ94" s="13">
        <f t="shared" si="41"/>
        <v>0</v>
      </c>
      <c r="AK94" s="13">
        <f t="shared" si="42"/>
        <v>0</v>
      </c>
      <c r="AM94" s="14">
        <f t="shared" si="29"/>
        <v>0</v>
      </c>
      <c r="AN94" s="14">
        <f t="shared" si="29"/>
        <v>0</v>
      </c>
      <c r="AO94" s="14">
        <f t="shared" si="29"/>
        <v>0</v>
      </c>
      <c r="AP94" s="14">
        <f t="shared" si="30"/>
        <v>0</v>
      </c>
      <c r="AQ94" s="14">
        <f t="shared" si="30"/>
        <v>0</v>
      </c>
      <c r="AR94" s="14">
        <f t="shared" si="30"/>
        <v>0</v>
      </c>
      <c r="AS94" s="14">
        <f t="shared" si="30"/>
        <v>0</v>
      </c>
      <c r="AT94" s="14">
        <f t="shared" si="30"/>
        <v>0</v>
      </c>
      <c r="AU94" s="14">
        <f t="shared" si="30"/>
        <v>0</v>
      </c>
      <c r="AV94" s="14">
        <f t="shared" si="30"/>
        <v>0</v>
      </c>
      <c r="AW94" s="14">
        <f t="shared" si="30"/>
        <v>0</v>
      </c>
      <c r="AX94" s="14">
        <f t="shared" si="30"/>
        <v>0</v>
      </c>
    </row>
    <row r="95" spans="3:50">
      <c r="C95" s="12"/>
      <c r="D95" s="13"/>
      <c r="E95" s="13"/>
      <c r="F95" s="13"/>
      <c r="G95" s="13"/>
      <c r="H95" s="13"/>
      <c r="I95" s="13"/>
      <c r="J95" s="13"/>
      <c r="K95" s="13"/>
      <c r="L95" s="13"/>
      <c r="M95" s="13"/>
      <c r="N95" s="13"/>
      <c r="O95" s="13"/>
      <c r="P95" s="13"/>
      <c r="Q95" s="13"/>
      <c r="R95" s="13"/>
      <c r="S95" s="13"/>
      <c r="T95" s="13"/>
      <c r="U95" s="13"/>
      <c r="V95" s="13"/>
      <c r="W95" s="13"/>
      <c r="X95" s="13"/>
      <c r="Z95" s="13">
        <f t="shared" si="31"/>
        <v>0</v>
      </c>
      <c r="AA95" s="13">
        <f t="shared" si="32"/>
        <v>0</v>
      </c>
      <c r="AB95" s="13">
        <f t="shared" si="33"/>
        <v>0</v>
      </c>
      <c r="AC95" s="13">
        <f t="shared" si="34"/>
        <v>0</v>
      </c>
      <c r="AD95" s="13">
        <f t="shared" si="35"/>
        <v>0</v>
      </c>
      <c r="AE95" s="13">
        <f t="shared" si="36"/>
        <v>0</v>
      </c>
      <c r="AF95" s="13">
        <f t="shared" si="37"/>
        <v>0</v>
      </c>
      <c r="AG95" s="13">
        <f t="shared" si="38"/>
        <v>0</v>
      </c>
      <c r="AH95" s="13">
        <f t="shared" si="39"/>
        <v>0</v>
      </c>
      <c r="AI95" s="13">
        <f t="shared" si="40"/>
        <v>0</v>
      </c>
      <c r="AJ95" s="13">
        <f t="shared" si="41"/>
        <v>0</v>
      </c>
      <c r="AK95" s="13">
        <f t="shared" si="42"/>
        <v>0</v>
      </c>
      <c r="AM95" s="14">
        <f t="shared" si="29"/>
        <v>0</v>
      </c>
      <c r="AN95" s="14">
        <f t="shared" si="29"/>
        <v>0</v>
      </c>
      <c r="AO95" s="14">
        <f t="shared" si="29"/>
        <v>0</v>
      </c>
      <c r="AP95" s="14">
        <f t="shared" si="30"/>
        <v>0</v>
      </c>
      <c r="AQ95" s="14">
        <f t="shared" si="30"/>
        <v>0</v>
      </c>
      <c r="AR95" s="14">
        <f t="shared" si="30"/>
        <v>0</v>
      </c>
      <c r="AS95" s="14">
        <f t="shared" si="30"/>
        <v>0</v>
      </c>
      <c r="AT95" s="14">
        <f t="shared" si="30"/>
        <v>0</v>
      </c>
      <c r="AU95" s="14">
        <f t="shared" si="30"/>
        <v>0</v>
      </c>
      <c r="AV95" s="14">
        <f t="shared" si="30"/>
        <v>0</v>
      </c>
      <c r="AW95" s="14">
        <f t="shared" si="30"/>
        <v>0</v>
      </c>
      <c r="AX95" s="14">
        <f t="shared" si="30"/>
        <v>0</v>
      </c>
    </row>
    <row r="96" spans="3:50">
      <c r="C96" s="12"/>
      <c r="D96" s="13"/>
      <c r="E96" s="13"/>
      <c r="F96" s="13"/>
      <c r="G96" s="13"/>
      <c r="H96" s="13"/>
      <c r="I96" s="13"/>
      <c r="J96" s="13"/>
      <c r="K96" s="13"/>
      <c r="L96" s="13"/>
      <c r="M96" s="13"/>
      <c r="N96" s="13"/>
      <c r="O96" s="13"/>
      <c r="P96" s="13"/>
      <c r="Q96" s="13"/>
      <c r="R96" s="13"/>
      <c r="S96" s="13"/>
      <c r="T96" s="13"/>
      <c r="U96" s="13"/>
      <c r="V96" s="13"/>
      <c r="W96" s="13"/>
      <c r="X96" s="13"/>
      <c r="Z96" s="13">
        <f t="shared" si="31"/>
        <v>0</v>
      </c>
      <c r="AA96" s="13">
        <f t="shared" si="32"/>
        <v>0</v>
      </c>
      <c r="AB96" s="13">
        <f t="shared" si="33"/>
        <v>0</v>
      </c>
      <c r="AC96" s="13">
        <f t="shared" si="34"/>
        <v>0</v>
      </c>
      <c r="AD96" s="13">
        <f t="shared" si="35"/>
        <v>0</v>
      </c>
      <c r="AE96" s="13">
        <f t="shared" si="36"/>
        <v>0</v>
      </c>
      <c r="AF96" s="13">
        <f t="shared" si="37"/>
        <v>0</v>
      </c>
      <c r="AG96" s="13">
        <f t="shared" si="38"/>
        <v>0</v>
      </c>
      <c r="AH96" s="13">
        <f t="shared" si="39"/>
        <v>0</v>
      </c>
      <c r="AI96" s="13">
        <f t="shared" si="40"/>
        <v>0</v>
      </c>
      <c r="AJ96" s="13">
        <f t="shared" si="41"/>
        <v>0</v>
      </c>
      <c r="AK96" s="13">
        <f t="shared" si="42"/>
        <v>0</v>
      </c>
      <c r="AM96" s="14">
        <f t="shared" si="29"/>
        <v>0</v>
      </c>
      <c r="AN96" s="14">
        <f t="shared" si="29"/>
        <v>0</v>
      </c>
      <c r="AO96" s="14">
        <f t="shared" si="29"/>
        <v>0</v>
      </c>
      <c r="AP96" s="14">
        <f t="shared" si="30"/>
        <v>0</v>
      </c>
      <c r="AQ96" s="14">
        <f t="shared" si="30"/>
        <v>0</v>
      </c>
      <c r="AR96" s="14">
        <f t="shared" si="30"/>
        <v>0</v>
      </c>
      <c r="AS96" s="14">
        <f t="shared" si="30"/>
        <v>0</v>
      </c>
      <c r="AT96" s="14">
        <f t="shared" si="30"/>
        <v>0</v>
      </c>
      <c r="AU96" s="14">
        <f t="shared" si="30"/>
        <v>0</v>
      </c>
      <c r="AV96" s="14">
        <f t="shared" si="30"/>
        <v>0</v>
      </c>
      <c r="AW96" s="14">
        <f t="shared" si="30"/>
        <v>0</v>
      </c>
      <c r="AX96" s="14">
        <f t="shared" si="30"/>
        <v>0</v>
      </c>
    </row>
    <row r="97" spans="3:50">
      <c r="C97" s="12"/>
      <c r="D97" s="13"/>
      <c r="E97" s="13"/>
      <c r="F97" s="13"/>
      <c r="G97" s="13"/>
      <c r="H97" s="13"/>
      <c r="I97" s="13"/>
      <c r="J97" s="13"/>
      <c r="K97" s="13"/>
      <c r="L97" s="13"/>
      <c r="M97" s="13"/>
      <c r="N97" s="13"/>
      <c r="O97" s="13"/>
      <c r="P97" s="13"/>
      <c r="Q97" s="13"/>
      <c r="R97" s="13"/>
      <c r="S97" s="13"/>
      <c r="T97" s="13"/>
      <c r="U97" s="13"/>
      <c r="V97" s="13"/>
      <c r="W97" s="13"/>
      <c r="X97" s="13"/>
      <c r="Z97" s="13">
        <f t="shared" si="31"/>
        <v>0</v>
      </c>
      <c r="AA97" s="13">
        <f t="shared" si="32"/>
        <v>0</v>
      </c>
      <c r="AB97" s="13">
        <f t="shared" si="33"/>
        <v>0</v>
      </c>
      <c r="AC97" s="13">
        <f t="shared" si="34"/>
        <v>0</v>
      </c>
      <c r="AD97" s="13">
        <f t="shared" si="35"/>
        <v>0</v>
      </c>
      <c r="AE97" s="13">
        <f t="shared" si="36"/>
        <v>0</v>
      </c>
      <c r="AF97" s="13">
        <f t="shared" si="37"/>
        <v>0</v>
      </c>
      <c r="AG97" s="13">
        <f t="shared" si="38"/>
        <v>0</v>
      </c>
      <c r="AH97" s="13">
        <f t="shared" si="39"/>
        <v>0</v>
      </c>
      <c r="AI97" s="13">
        <f t="shared" si="40"/>
        <v>0</v>
      </c>
      <c r="AJ97" s="13">
        <f t="shared" si="41"/>
        <v>0</v>
      </c>
      <c r="AK97" s="13">
        <f t="shared" si="42"/>
        <v>0</v>
      </c>
      <c r="AM97" s="14">
        <f t="shared" si="29"/>
        <v>0</v>
      </c>
      <c r="AN97" s="14">
        <f t="shared" si="29"/>
        <v>0</v>
      </c>
      <c r="AO97" s="14">
        <f t="shared" si="29"/>
        <v>0</v>
      </c>
      <c r="AP97" s="14">
        <f t="shared" si="30"/>
        <v>0</v>
      </c>
      <c r="AQ97" s="14">
        <f t="shared" si="30"/>
        <v>0</v>
      </c>
      <c r="AR97" s="14">
        <f t="shared" si="30"/>
        <v>0</v>
      </c>
      <c r="AS97" s="14">
        <f t="shared" ref="AS97:AX100" si="43">IF(AF$9&gt;0,AF97/AF$9,0)</f>
        <v>0</v>
      </c>
      <c r="AT97" s="14">
        <f t="shared" si="43"/>
        <v>0</v>
      </c>
      <c r="AU97" s="14">
        <f t="shared" si="43"/>
        <v>0</v>
      </c>
      <c r="AV97" s="14">
        <f t="shared" si="43"/>
        <v>0</v>
      </c>
      <c r="AW97" s="14">
        <f t="shared" si="43"/>
        <v>0</v>
      </c>
      <c r="AX97" s="14">
        <f t="shared" si="43"/>
        <v>0</v>
      </c>
    </row>
    <row r="98" spans="3:50">
      <c r="C98" s="12"/>
      <c r="D98" s="13"/>
      <c r="E98" s="13"/>
      <c r="F98" s="13"/>
      <c r="G98" s="13"/>
      <c r="H98" s="13"/>
      <c r="I98" s="13"/>
      <c r="J98" s="13"/>
      <c r="K98" s="13"/>
      <c r="L98" s="13"/>
      <c r="M98" s="13"/>
      <c r="N98" s="13"/>
      <c r="O98" s="13"/>
      <c r="P98" s="13"/>
      <c r="Q98" s="13"/>
      <c r="R98" s="13"/>
      <c r="S98" s="13"/>
      <c r="T98" s="13"/>
      <c r="U98" s="13"/>
      <c r="V98" s="13"/>
      <c r="W98" s="13"/>
      <c r="X98" s="13"/>
      <c r="Z98" s="13">
        <f t="shared" si="31"/>
        <v>0</v>
      </c>
      <c r="AA98" s="13">
        <f t="shared" si="32"/>
        <v>0</v>
      </c>
      <c r="AB98" s="13">
        <f t="shared" si="33"/>
        <v>0</v>
      </c>
      <c r="AC98" s="13">
        <f t="shared" si="34"/>
        <v>0</v>
      </c>
      <c r="AD98" s="13">
        <f t="shared" si="35"/>
        <v>0</v>
      </c>
      <c r="AE98" s="13">
        <f t="shared" si="36"/>
        <v>0</v>
      </c>
      <c r="AF98" s="13">
        <f t="shared" si="37"/>
        <v>0</v>
      </c>
      <c r="AG98" s="13">
        <f t="shared" si="38"/>
        <v>0</v>
      </c>
      <c r="AH98" s="13">
        <f t="shared" si="39"/>
        <v>0</v>
      </c>
      <c r="AI98" s="13">
        <f t="shared" si="40"/>
        <v>0</v>
      </c>
      <c r="AJ98" s="13">
        <f t="shared" si="41"/>
        <v>0</v>
      </c>
      <c r="AK98" s="13">
        <f t="shared" si="42"/>
        <v>0</v>
      </c>
      <c r="AM98" s="14">
        <f t="shared" si="29"/>
        <v>0</v>
      </c>
      <c r="AN98" s="14">
        <f t="shared" si="29"/>
        <v>0</v>
      </c>
      <c r="AO98" s="14">
        <f t="shared" si="29"/>
        <v>0</v>
      </c>
      <c r="AP98" s="14">
        <f t="shared" si="29"/>
        <v>0</v>
      </c>
      <c r="AQ98" s="14">
        <f t="shared" si="29"/>
        <v>0</v>
      </c>
      <c r="AR98" s="14">
        <f t="shared" si="29"/>
        <v>0</v>
      </c>
      <c r="AS98" s="14">
        <f t="shared" si="43"/>
        <v>0</v>
      </c>
      <c r="AT98" s="14">
        <f t="shared" si="43"/>
        <v>0</v>
      </c>
      <c r="AU98" s="14">
        <f t="shared" si="43"/>
        <v>0</v>
      </c>
      <c r="AV98" s="14">
        <f t="shared" si="43"/>
        <v>0</v>
      </c>
      <c r="AW98" s="14">
        <f t="shared" si="43"/>
        <v>0</v>
      </c>
      <c r="AX98" s="14">
        <f t="shared" si="43"/>
        <v>0</v>
      </c>
    </row>
    <row r="99" spans="3:50">
      <c r="C99" s="12"/>
      <c r="D99" s="13"/>
      <c r="E99" s="13"/>
      <c r="F99" s="13"/>
      <c r="G99" s="13"/>
      <c r="H99" s="13"/>
      <c r="I99" s="13"/>
      <c r="J99" s="13"/>
      <c r="K99" s="13"/>
      <c r="L99" s="13"/>
      <c r="M99" s="13"/>
      <c r="N99" s="13"/>
      <c r="O99" s="13"/>
      <c r="P99" s="13"/>
      <c r="Q99" s="13"/>
      <c r="R99" s="13"/>
      <c r="S99" s="13"/>
      <c r="T99" s="13"/>
      <c r="U99" s="13"/>
      <c r="V99" s="13"/>
      <c r="W99" s="13"/>
      <c r="X99" s="13"/>
      <c r="Z99" s="13">
        <f t="shared" si="31"/>
        <v>0</v>
      </c>
      <c r="AA99" s="13">
        <f t="shared" si="32"/>
        <v>0</v>
      </c>
      <c r="AB99" s="13">
        <f t="shared" si="33"/>
        <v>0</v>
      </c>
      <c r="AC99" s="13">
        <f t="shared" si="34"/>
        <v>0</v>
      </c>
      <c r="AD99" s="13">
        <f t="shared" si="35"/>
        <v>0</v>
      </c>
      <c r="AE99" s="13">
        <f t="shared" si="36"/>
        <v>0</v>
      </c>
      <c r="AF99" s="13">
        <f t="shared" si="37"/>
        <v>0</v>
      </c>
      <c r="AG99" s="13">
        <f t="shared" si="38"/>
        <v>0</v>
      </c>
      <c r="AH99" s="13">
        <f t="shared" si="39"/>
        <v>0</v>
      </c>
      <c r="AI99" s="13">
        <f t="shared" si="40"/>
        <v>0</v>
      </c>
      <c r="AJ99" s="13">
        <f t="shared" si="41"/>
        <v>0</v>
      </c>
      <c r="AK99" s="13">
        <f t="shared" si="42"/>
        <v>0</v>
      </c>
      <c r="AM99" s="14">
        <f t="shared" si="29"/>
        <v>0</v>
      </c>
      <c r="AN99" s="14">
        <f t="shared" si="29"/>
        <v>0</v>
      </c>
      <c r="AO99" s="14">
        <f t="shared" si="29"/>
        <v>0</v>
      </c>
      <c r="AP99" s="14">
        <f t="shared" si="29"/>
        <v>0</v>
      </c>
      <c r="AQ99" s="14">
        <f t="shared" si="29"/>
        <v>0</v>
      </c>
      <c r="AR99" s="14">
        <f t="shared" si="29"/>
        <v>0</v>
      </c>
      <c r="AS99" s="14">
        <f t="shared" si="43"/>
        <v>0</v>
      </c>
      <c r="AT99" s="14">
        <f t="shared" si="43"/>
        <v>0</v>
      </c>
      <c r="AU99" s="14">
        <f t="shared" si="43"/>
        <v>0</v>
      </c>
      <c r="AV99" s="14">
        <f t="shared" si="43"/>
        <v>0</v>
      </c>
      <c r="AW99" s="14">
        <f t="shared" si="43"/>
        <v>0</v>
      </c>
      <c r="AX99" s="14">
        <f t="shared" si="43"/>
        <v>0</v>
      </c>
    </row>
    <row r="100" spans="3:50">
      <c r="C100" s="12"/>
      <c r="D100" s="13"/>
      <c r="E100" s="13"/>
      <c r="F100" s="13"/>
      <c r="G100" s="13"/>
      <c r="H100" s="13"/>
      <c r="I100" s="13"/>
      <c r="J100" s="13"/>
      <c r="K100" s="13"/>
      <c r="L100" s="13"/>
      <c r="M100" s="13"/>
      <c r="N100" s="13"/>
      <c r="O100" s="13"/>
      <c r="P100" s="13"/>
      <c r="Q100" s="13"/>
      <c r="R100" s="13"/>
      <c r="S100" s="13"/>
      <c r="T100" s="13"/>
      <c r="U100" s="13"/>
      <c r="V100" s="13"/>
      <c r="W100" s="13"/>
      <c r="X100" s="13"/>
      <c r="Z100" s="13">
        <f t="shared" si="31"/>
        <v>0</v>
      </c>
      <c r="AA100" s="13">
        <f t="shared" si="32"/>
        <v>0</v>
      </c>
      <c r="AB100" s="13">
        <f t="shared" si="33"/>
        <v>0</v>
      </c>
      <c r="AC100" s="13">
        <f t="shared" si="34"/>
        <v>0</v>
      </c>
      <c r="AD100" s="13">
        <f t="shared" si="35"/>
        <v>0</v>
      </c>
      <c r="AE100" s="13">
        <f t="shared" si="36"/>
        <v>0</v>
      </c>
      <c r="AF100" s="13">
        <f t="shared" si="37"/>
        <v>0</v>
      </c>
      <c r="AG100" s="13">
        <f t="shared" si="38"/>
        <v>0</v>
      </c>
      <c r="AH100" s="13">
        <f t="shared" si="39"/>
        <v>0</v>
      </c>
      <c r="AI100" s="13">
        <f t="shared" si="40"/>
        <v>0</v>
      </c>
      <c r="AJ100" s="13">
        <f t="shared" si="41"/>
        <v>0</v>
      </c>
      <c r="AK100" s="13">
        <f t="shared" si="42"/>
        <v>0</v>
      </c>
      <c r="AM100" s="14">
        <f t="shared" si="29"/>
        <v>0</v>
      </c>
      <c r="AN100" s="14">
        <f t="shared" si="29"/>
        <v>0</v>
      </c>
      <c r="AO100" s="14">
        <f t="shared" si="29"/>
        <v>0</v>
      </c>
      <c r="AP100" s="14">
        <f t="shared" si="29"/>
        <v>0</v>
      </c>
      <c r="AQ100" s="14">
        <f t="shared" si="29"/>
        <v>0</v>
      </c>
      <c r="AR100" s="14">
        <f t="shared" si="29"/>
        <v>0</v>
      </c>
      <c r="AS100" s="14">
        <f t="shared" si="43"/>
        <v>0</v>
      </c>
      <c r="AT100" s="14">
        <f t="shared" si="43"/>
        <v>0</v>
      </c>
      <c r="AU100" s="14">
        <f t="shared" si="43"/>
        <v>0</v>
      </c>
      <c r="AV100" s="14">
        <f t="shared" si="43"/>
        <v>0</v>
      </c>
      <c r="AW100" s="14">
        <f t="shared" si="43"/>
        <v>0</v>
      </c>
      <c r="AX100" s="14">
        <f t="shared" si="43"/>
        <v>0</v>
      </c>
    </row>
  </sheetData>
  <pageMargins left="0.75" right="0.75" top="1" bottom="1" header="0.5" footer="0.5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btnThird_Click">
                <anchor moveWithCells="1" sizeWithCells="1">
                  <from>
                    <xdr:col>4</xdr:col>
                    <xdr:colOff>0</xdr:colOff>
                    <xdr:row>1</xdr:row>
                    <xdr:rowOff>38100</xdr:rowOff>
                  </from>
                  <to>
                    <xdr:col>6</xdr:col>
                    <xdr:colOff>28575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BM100"/>
  <sheetViews>
    <sheetView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B4" sqref="B4"/>
    </sheetView>
  </sheetViews>
  <sheetFormatPr defaultColWidth="11" defaultRowHeight="15.75"/>
  <sheetData>
    <row r="1" spans="1:65">
      <c r="A1" s="1" t="str">
        <f>CONCATENATE("Integrated Course Design Tool - ",B4)</f>
        <v xml:space="preserve">Integrated Course Design Tool - </v>
      </c>
    </row>
    <row r="2" spans="1:65">
      <c r="A2" t="s">
        <v>0</v>
      </c>
      <c r="B2" t="str">
        <f>CONCATENATE(LO!B2," (",LO!B4,")")</f>
        <v xml:space="preserve"> ()</v>
      </c>
    </row>
    <row r="3" spans="1:65">
      <c r="A3" t="s">
        <v>1</v>
      </c>
      <c r="B3">
        <f>LO!B3</f>
        <v>0</v>
      </c>
    </row>
    <row r="4" spans="1:65">
      <c r="A4" t="s">
        <v>16</v>
      </c>
    </row>
    <row r="6" spans="1:65">
      <c r="A6" s="1" t="s">
        <v>10</v>
      </c>
      <c r="B6" s="1" t="s">
        <v>11</v>
      </c>
      <c r="C6" s="1" t="s">
        <v>12</v>
      </c>
      <c r="D6" s="6" t="s">
        <v>13</v>
      </c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</row>
    <row r="7" spans="1:65">
      <c r="A7" s="1" t="s">
        <v>14</v>
      </c>
      <c r="B7" s="1" t="s">
        <v>14</v>
      </c>
      <c r="C7" s="1" t="s">
        <v>15</v>
      </c>
      <c r="D7" s="8">
        <f>SUM(E7:Z7)</f>
        <v>0</v>
      </c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B7" s="6" t="s">
        <v>90</v>
      </c>
      <c r="AC7" s="6" t="s">
        <v>91</v>
      </c>
      <c r="AD7" s="6" t="s">
        <v>92</v>
      </c>
      <c r="AE7" s="6" t="s">
        <v>93</v>
      </c>
      <c r="AF7" s="6" t="s">
        <v>94</v>
      </c>
      <c r="AG7" s="6" t="s">
        <v>95</v>
      </c>
      <c r="AH7" s="6" t="s">
        <v>96</v>
      </c>
      <c r="AI7" s="6" t="s">
        <v>97</v>
      </c>
      <c r="AJ7" s="6" t="s">
        <v>98</v>
      </c>
      <c r="AK7" s="6" t="s">
        <v>99</v>
      </c>
      <c r="AL7" s="6" t="s">
        <v>100</v>
      </c>
      <c r="AM7" s="6" t="s">
        <v>101</v>
      </c>
      <c r="AO7" s="6" t="s">
        <v>90</v>
      </c>
      <c r="AP7" s="6" t="s">
        <v>91</v>
      </c>
      <c r="AQ7" s="6" t="s">
        <v>92</v>
      </c>
      <c r="AR7" s="6" t="s">
        <v>93</v>
      </c>
      <c r="AS7" s="6" t="s">
        <v>94</v>
      </c>
      <c r="AT7" s="6" t="s">
        <v>95</v>
      </c>
      <c r="AU7" s="6" t="s">
        <v>96</v>
      </c>
      <c r="AV7" s="6" t="s">
        <v>97</v>
      </c>
      <c r="AW7" s="6" t="s">
        <v>98</v>
      </c>
      <c r="AX7" s="6" t="s">
        <v>99</v>
      </c>
      <c r="AY7" s="6" t="s">
        <v>100</v>
      </c>
      <c r="AZ7" s="6" t="s">
        <v>101</v>
      </c>
      <c r="BB7" s="6" t="s">
        <v>90</v>
      </c>
      <c r="BC7" s="6" t="s">
        <v>91</v>
      </c>
      <c r="BD7" s="6" t="s">
        <v>92</v>
      </c>
      <c r="BE7" s="6" t="s">
        <v>93</v>
      </c>
      <c r="BF7" s="6" t="s">
        <v>94</v>
      </c>
      <c r="BG7" s="6" t="s">
        <v>95</v>
      </c>
      <c r="BH7" s="6" t="s">
        <v>96</v>
      </c>
      <c r="BI7" s="6" t="s">
        <v>97</v>
      </c>
      <c r="BJ7" s="6" t="s">
        <v>98</v>
      </c>
      <c r="BK7" s="6" t="s">
        <v>99</v>
      </c>
      <c r="BL7" s="6" t="s">
        <v>100</v>
      </c>
      <c r="BM7" s="6" t="s">
        <v>101</v>
      </c>
    </row>
    <row r="8" spans="1:65" hidden="1">
      <c r="A8" s="9"/>
      <c r="B8" s="9"/>
      <c r="C8" s="9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</row>
    <row r="9" spans="1:65">
      <c r="D9" s="11" t="s">
        <v>17</v>
      </c>
      <c r="E9" s="8" t="str">
        <f>IFERROR(LEFT(INDEX(LO!$B8:$C28,MATCH(E8,LO!$B8:$B28,0),2),6),"-")</f>
        <v>-</v>
      </c>
      <c r="F9" s="8" t="str">
        <f>IFERROR(LEFT(INDEX(LO!$B8:$C28,MATCH(F8,LO!$B8:$B28,0),2),6),"-")</f>
        <v>-</v>
      </c>
      <c r="G9" s="8" t="str">
        <f>IFERROR(LEFT(INDEX(LO!$B8:$C28,MATCH(G8,LO!$B8:$B28,0),2),6),"-")</f>
        <v>-</v>
      </c>
      <c r="H9" s="8" t="str">
        <f>IFERROR(LEFT(INDEX(LO!$B8:$C28,MATCH(H8,LO!$B8:$B28,0),2),6),"-")</f>
        <v>-</v>
      </c>
      <c r="I9" s="8" t="str">
        <f>IFERROR(LEFT(INDEX(LO!$B8:$C28,MATCH(I8,LO!$B8:$B28,0),2),6),"-")</f>
        <v>-</v>
      </c>
      <c r="J9" s="8" t="str">
        <f>IFERROR(LEFT(INDEX(LO!$B8:$C28,MATCH(J8,LO!$B8:$B28,0),2),6),"-")</f>
        <v>-</v>
      </c>
      <c r="K9" s="8" t="str">
        <f>IFERROR(LEFT(INDEX(LO!$B8:$C28,MATCH(K8,LO!$B8:$B28,0),2),6),"-")</f>
        <v>-</v>
      </c>
      <c r="L9" s="8" t="str">
        <f>IFERROR(LEFT(INDEX(LO!$B8:$C28,MATCH(L8,LO!$B8:$B28,0),2),6),"-")</f>
        <v>-</v>
      </c>
      <c r="M9" s="8" t="str">
        <f>IFERROR(LEFT(INDEX(LO!$B8:$C28,MATCH(M8,LO!$B8:$B28,0),2),6),"-")</f>
        <v>-</v>
      </c>
      <c r="N9" s="8" t="str">
        <f>IFERROR(LEFT(INDEX(LO!$B8:$C28,MATCH(N8,LO!$B8:$B28,0),2),6),"-")</f>
        <v>-</v>
      </c>
      <c r="O9" s="8" t="str">
        <f>IFERROR(LEFT(INDEX(LO!$B8:$C28,MATCH(O8,LO!$B8:$B28,0),2),6),"-")</f>
        <v>-</v>
      </c>
      <c r="P9" s="8" t="str">
        <f>IFERROR(LEFT(INDEX(LO!$B8:$C28,MATCH(P8,LO!$B8:$B28,0),2),6),"-")</f>
        <v>-</v>
      </c>
      <c r="Q9" s="8" t="str">
        <f>IFERROR(LEFT(INDEX(LO!$B8:$C28,MATCH(Q8,LO!$B8:$B28,0),2),6),"-")</f>
        <v>-</v>
      </c>
      <c r="R9" s="8" t="str">
        <f>IFERROR(LEFT(INDEX(LO!$B8:$C28,MATCH(R8,LO!$B8:$B28,0),2),6),"-")</f>
        <v>-</v>
      </c>
      <c r="S9" s="8" t="str">
        <f>IFERROR(LEFT(INDEX(LO!$B8:$C28,MATCH(S8,LO!$B8:$B28,0),2),6),"-")</f>
        <v>-</v>
      </c>
      <c r="T9" s="8" t="str">
        <f>IFERROR(LEFT(INDEX(LO!$B8:$C28,MATCH(T8,LO!$B8:$B28,0),2),6),"-")</f>
        <v>-</v>
      </c>
      <c r="U9" s="8" t="str">
        <f>IFERROR(LEFT(INDEX(LO!$B8:$C28,MATCH(U8,LO!$B8:$B28,0),2),6),"-")</f>
        <v>-</v>
      </c>
      <c r="V9" s="8" t="str">
        <f>IFERROR(LEFT(INDEX(LO!$B8:$C28,MATCH(V8,LO!$B8:$B28,0),2),6),"-")</f>
        <v>-</v>
      </c>
      <c r="W9" s="8" t="str">
        <f>IFERROR(LEFT(INDEX(LO!$B8:$C28,MATCH(W8,LO!$B8:$B28,0),2),6),"-")</f>
        <v>-</v>
      </c>
      <c r="X9" s="8" t="str">
        <f>IFERROR(LEFT(INDEX(LO!$B8:$C28,MATCH(X8,LO!$B8:$B28,0),2),6),"-")</f>
        <v>-</v>
      </c>
      <c r="Y9" s="8" t="str">
        <f>IFERROR(LEFT(INDEX(LO!$B8:$C28,MATCH(Y8,LO!$B8:$B28,0),2),6),"-")</f>
        <v>-</v>
      </c>
      <c r="Z9" s="8" t="str">
        <f>IFERROR(LEFT(INDEX(LO!$B8:$C28,MATCH(Z8,LO!$B8:$B28,0),2),6),"-")</f>
        <v>-</v>
      </c>
      <c r="AB9" s="8">
        <f>SUMIF($E$9:$Z$9,"3.1.1 ",$E7:$Z7)</f>
        <v>0</v>
      </c>
      <c r="AC9" s="8">
        <f>SUMIF($E$9:$Z$9,"3.1.2 ",$E7:$Z7)</f>
        <v>0</v>
      </c>
      <c r="AD9" s="8">
        <f>SUMIF($E$9:$Z$9,"3.1.3 ",$E7:$Z7)</f>
        <v>0</v>
      </c>
      <c r="AE9" s="8">
        <f>SUMIF($E$9:$Z$9,"3.1.4 ",$E7:$Z7)</f>
        <v>0</v>
      </c>
      <c r="AF9" s="8">
        <f>SUMIF($E$9:$Z$9,"3.1.5 ",$E7:$Z7)</f>
        <v>0</v>
      </c>
      <c r="AG9" s="8">
        <f>SUMIF($E$9:$Z$9,"3.1.6 ",$E7:$Z7)</f>
        <v>0</v>
      </c>
      <c r="AH9" s="8">
        <f>SUMIF($E$9:$Z$9,"3.1.7 ",$E7:$Z7)</f>
        <v>0</v>
      </c>
      <c r="AI9" s="8">
        <f>SUMIF($E$9:$Z$9,"3.1.8 ",$E7:$Z7)</f>
        <v>0</v>
      </c>
      <c r="AJ9" s="8">
        <f>SUMIF($E$9:$Z$9,"3.1.9 ",$E7:$Z7)</f>
        <v>0</v>
      </c>
      <c r="AK9" s="8">
        <f>SUMIF($E$9:$Z$9,"3.1.10",$E7:$Z7)</f>
        <v>0</v>
      </c>
      <c r="AL9" s="8">
        <f>SUMIF($E$9:$Z$9,"3.1.11",$E7:$Z7)</f>
        <v>0</v>
      </c>
      <c r="AM9" s="8">
        <f>SUMIF($E$9:$Z$9,"3.1.12",$E7:$Z7)</f>
        <v>0</v>
      </c>
    </row>
    <row r="10" spans="1:65">
      <c r="A10" t="str">
        <f>Grades!A10</f>
        <v>Last_1</v>
      </c>
      <c r="B10" t="str">
        <f>Grades!B10</f>
        <v>First_1</v>
      </c>
      <c r="C10" s="12">
        <f>Grades!C10</f>
        <v>35680162</v>
      </c>
      <c r="D10" s="13">
        <f>SUM(E10:Z10)</f>
        <v>0</v>
      </c>
      <c r="E10" s="13"/>
      <c r="F10" s="13"/>
      <c r="G10" s="13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13"/>
      <c r="Y10" s="13"/>
      <c r="Z10" s="13"/>
      <c r="AB10" s="13">
        <f>SUMIF($E$9:$Z$9,"3.1.1 ",$E10:$Z10)</f>
        <v>0</v>
      </c>
      <c r="AC10" s="13">
        <f>SUMIF($E$9:$Z$9,"3.1.2 ",$E10:$Z10)</f>
        <v>0</v>
      </c>
      <c r="AD10" s="13">
        <f>SUMIF($E$9:$Z$9,"3.1.3 ",$E10:$Z10)</f>
        <v>0</v>
      </c>
      <c r="AE10" s="13">
        <f>SUMIF($E$9:$Z$9,"3.1.4 ",$E10:$Z10)</f>
        <v>0</v>
      </c>
      <c r="AF10" s="13">
        <f>SUMIF($E$9:$Z$9,"3.1.5 ",$E10:$Z10)</f>
        <v>0</v>
      </c>
      <c r="AG10" s="13">
        <f>SUMIF($E$9:$Z$9,"3.1.6 ",$E10:$Z10)</f>
        <v>0</v>
      </c>
      <c r="AH10" s="13">
        <f>SUMIF($E$9:$Z$9,"3.1.7 ",$E10:$Z10)</f>
        <v>0</v>
      </c>
      <c r="AI10" s="13">
        <f>SUMIF($E$9:$Z$9,"3.1.8 ",$E10:$Z10)</f>
        <v>0</v>
      </c>
      <c r="AJ10" s="13">
        <f>SUMIF($E$9:$Z$9,"3.1.9 ",$E10:$Z10)</f>
        <v>0</v>
      </c>
      <c r="AK10" s="13">
        <f>SUMIF($E$9:$Z$9,"3.1.10",$E10:$Z10)</f>
        <v>0</v>
      </c>
      <c r="AL10" s="13">
        <f>SUMIF($E$9:$Z$9,"3.1.11",$E10:$Z10)</f>
        <v>0</v>
      </c>
      <c r="AM10" s="13">
        <f>SUMIF($E$9:$Z$9,"3.1.12",$E10:$Z10)</f>
        <v>0</v>
      </c>
      <c r="AO10" s="14">
        <f>IF(AB$9&gt;0,AB10/AB$9,0)</f>
        <v>0</v>
      </c>
      <c r="AP10" s="14">
        <f t="shared" ref="AP10:AZ25" si="0">IF(AC$9&gt;0,AC10/AC$9,0)</f>
        <v>0</v>
      </c>
      <c r="AQ10" s="14">
        <f t="shared" si="0"/>
        <v>0</v>
      </c>
      <c r="AR10" s="14">
        <f t="shared" si="0"/>
        <v>0</v>
      </c>
      <c r="AS10" s="14">
        <f t="shared" si="0"/>
        <v>0</v>
      </c>
      <c r="AT10" s="14">
        <f t="shared" si="0"/>
        <v>0</v>
      </c>
      <c r="AU10" s="14">
        <f t="shared" si="0"/>
        <v>0</v>
      </c>
      <c r="AV10" s="14">
        <f t="shared" si="0"/>
        <v>0</v>
      </c>
      <c r="AW10" s="14">
        <f t="shared" si="0"/>
        <v>0</v>
      </c>
      <c r="AX10" s="14">
        <f t="shared" si="0"/>
        <v>0</v>
      </c>
      <c r="AY10" s="14">
        <f t="shared" si="0"/>
        <v>0</v>
      </c>
      <c r="AZ10" s="14">
        <f t="shared" si="0"/>
        <v>0</v>
      </c>
      <c r="BA10" s="15" t="s">
        <v>83</v>
      </c>
      <c r="BB10" s="15">
        <f>COUNTIF(AO$10:AO$100,"&gt;=" &amp; Summary!$B6)</f>
        <v>0</v>
      </c>
      <c r="BC10" s="15">
        <f>COUNTIF(AP$10:AP$100,"&gt;=" &amp; Summary!$B6)</f>
        <v>0</v>
      </c>
      <c r="BD10" s="15">
        <f>COUNTIF(AQ$10:AQ$100,"&gt;=" &amp; Summary!$B6)</f>
        <v>0</v>
      </c>
      <c r="BE10" s="15">
        <f>COUNTIF(AR$10:AR$100,"&gt;=" &amp; Summary!$B6)</f>
        <v>0</v>
      </c>
      <c r="BF10" s="15">
        <f>COUNTIF(AS$10:AS$100,"&gt;=" &amp; Summary!$B6)</f>
        <v>0</v>
      </c>
      <c r="BG10" s="15">
        <f>COUNTIF(AT$10:AT$100,"&gt;=" &amp; Summary!$B6)</f>
        <v>0</v>
      </c>
      <c r="BH10" s="15">
        <f>COUNTIF(AU$10:AU$100,"&gt;=" &amp; Summary!$B6)</f>
        <v>0</v>
      </c>
      <c r="BI10" s="15">
        <f>COUNTIF(AV$10:AV$100,"&gt;=" &amp; Summary!$B6)</f>
        <v>0</v>
      </c>
      <c r="BJ10" s="15">
        <f>COUNTIF(AW$10:AW$100,"&gt;=" &amp; Summary!$B6)</f>
        <v>0</v>
      </c>
      <c r="BK10" s="15">
        <f>COUNTIF(AX$10:AX$100,"&gt;=" &amp; Summary!$B6)</f>
        <v>0</v>
      </c>
      <c r="BL10" s="15">
        <f>COUNTIF(AY$10:AY$100,"&gt;=" &amp; Summary!$B6)</f>
        <v>0</v>
      </c>
      <c r="BM10" s="15">
        <f>COUNTIF(AZ$10:AZ$100,"&gt;=" &amp; Summary!$B6)</f>
        <v>0</v>
      </c>
    </row>
    <row r="11" spans="1:65">
      <c r="A11" t="str">
        <f>Grades!A11</f>
        <v>Last_2</v>
      </c>
      <c r="B11" t="str">
        <f>Grades!B11</f>
        <v>First_2</v>
      </c>
      <c r="C11" s="12">
        <f>Grades!C11</f>
        <v>48998132</v>
      </c>
      <c r="D11" s="13">
        <f t="shared" ref="D11:D74" si="1">SUM(E11:Z11)</f>
        <v>0</v>
      </c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3"/>
      <c r="AB11" s="13">
        <f t="shared" ref="AB11:AB74" si="2">SUMIF($E$9:$Z$9,"3.1.1 ",$E11:$Z11)</f>
        <v>0</v>
      </c>
      <c r="AC11" s="13">
        <f t="shared" ref="AC11:AC74" si="3">SUMIF($E$9:$Z$9,"3.1.2 ",$E11:$Z11)</f>
        <v>0</v>
      </c>
      <c r="AD11" s="13">
        <f t="shared" ref="AD11:AD74" si="4">SUMIF($E$9:$Z$9,"3.1.3 ",$E11:$Z11)</f>
        <v>0</v>
      </c>
      <c r="AE11" s="13">
        <f t="shared" ref="AE11:AE74" si="5">SUMIF($E$9:$Z$9,"3.1.4 ",$E11:$Z11)</f>
        <v>0</v>
      </c>
      <c r="AF11" s="13">
        <f t="shared" ref="AF11:AF74" si="6">SUMIF($E$9:$Z$9,"3.1.5 ",$E11:$Z11)</f>
        <v>0</v>
      </c>
      <c r="AG11" s="13">
        <f t="shared" ref="AG11:AG74" si="7">SUMIF($E$9:$Z$9,"3.1.6 ",$E11:$Z11)</f>
        <v>0</v>
      </c>
      <c r="AH11" s="13">
        <f t="shared" ref="AH11:AH74" si="8">SUMIF($E$9:$Z$9,"3.1.7 ",$E11:$Z11)</f>
        <v>0</v>
      </c>
      <c r="AI11" s="13">
        <f t="shared" ref="AI11:AI74" si="9">SUMIF($E$9:$Z$9,"3.1.8 ",$E11:$Z11)</f>
        <v>0</v>
      </c>
      <c r="AJ11" s="13">
        <f t="shared" ref="AJ11:AJ74" si="10">SUMIF($E$9:$Z$9,"3.1.9 ",$E11:$Z11)</f>
        <v>0</v>
      </c>
      <c r="AK11" s="13">
        <f t="shared" ref="AK11:AK74" si="11">SUMIF($E$9:$Z$9,"3.1.10",$E11:$Z11)</f>
        <v>0</v>
      </c>
      <c r="AL11" s="13">
        <f t="shared" ref="AL11:AL74" si="12">SUMIF($E$9:$Z$9,"3.1.11",$E11:$Z11)</f>
        <v>0</v>
      </c>
      <c r="AM11" s="13">
        <f t="shared" ref="AM11:AM74" si="13">SUMIF($E$9:$Z$9,"3.1.12",$E11:$Z11)</f>
        <v>0</v>
      </c>
      <c r="AO11" s="14">
        <f t="shared" ref="AO11:AZ46" si="14">IF(AB$9&gt;0,AB11/AB$9,0)</f>
        <v>0</v>
      </c>
      <c r="AP11" s="14">
        <f t="shared" si="0"/>
        <v>0</v>
      </c>
      <c r="AQ11" s="14">
        <f t="shared" si="0"/>
        <v>0</v>
      </c>
      <c r="AR11" s="14">
        <f t="shared" si="0"/>
        <v>0</v>
      </c>
      <c r="AS11" s="14">
        <f t="shared" si="0"/>
        <v>0</v>
      </c>
      <c r="AT11" s="14">
        <f t="shared" si="0"/>
        <v>0</v>
      </c>
      <c r="AU11" s="14">
        <f t="shared" si="0"/>
        <v>0</v>
      </c>
      <c r="AV11" s="14">
        <f t="shared" si="0"/>
        <v>0</v>
      </c>
      <c r="AW11" s="14">
        <f t="shared" si="0"/>
        <v>0</v>
      </c>
      <c r="AX11" s="14">
        <f t="shared" si="0"/>
        <v>0</v>
      </c>
      <c r="AY11" s="14">
        <f t="shared" si="0"/>
        <v>0</v>
      </c>
      <c r="AZ11" s="14">
        <f t="shared" si="0"/>
        <v>0</v>
      </c>
      <c r="BA11" s="15" t="s">
        <v>84</v>
      </c>
      <c r="BB11" s="18">
        <f>COUNTIF(AO$10:AO$100,"&gt;=" &amp; Summary!$B7)-BB10</f>
        <v>0</v>
      </c>
      <c r="BC11" s="18">
        <f>COUNTIF(AP$10:AP$100,"&gt;=" &amp; Summary!$B7)-BC10</f>
        <v>0</v>
      </c>
      <c r="BD11" s="18">
        <f>COUNTIF(AQ$10:AQ$100,"&gt;=" &amp; Summary!$B7)-BD10</f>
        <v>0</v>
      </c>
      <c r="BE11" s="18">
        <f>COUNTIF(AR$10:AR$100,"&gt;=" &amp; Summary!$B7)-BE10</f>
        <v>0</v>
      </c>
      <c r="BF11" s="18">
        <f>COUNTIF(AS$10:AS$100,"&gt;=" &amp; Summary!$B7)-BF10</f>
        <v>0</v>
      </c>
      <c r="BG11" s="18">
        <f>COUNTIF(AT$10:AT$100,"&gt;=" &amp; Summary!$B7)-BG10</f>
        <v>0</v>
      </c>
      <c r="BH11" s="18">
        <f>COUNTIF(AU$10:AU$100,"&gt;=" &amp; Summary!$B7)-BH10</f>
        <v>0</v>
      </c>
      <c r="BI11" s="18">
        <f>COUNTIF(AV$10:AV$100,"&gt;=" &amp; Summary!$B7)-BI10</f>
        <v>0</v>
      </c>
      <c r="BJ11" s="18">
        <f>COUNTIF(AW$10:AW$100,"&gt;=" &amp; Summary!$B7)-BJ10</f>
        <v>0</v>
      </c>
      <c r="BK11" s="18">
        <f>COUNTIF(AX$10:AX$100,"&gt;=" &amp; Summary!$B7)-BK10</f>
        <v>0</v>
      </c>
      <c r="BL11" s="18">
        <f>COUNTIF(AY$10:AY$100,"&gt;=" &amp; Summary!$B7)-BL10</f>
        <v>0</v>
      </c>
      <c r="BM11" s="18">
        <f>COUNTIF(AZ$10:AZ$100,"&gt;=" &amp; Summary!$B7)-BM10</f>
        <v>0</v>
      </c>
    </row>
    <row r="12" spans="1:65">
      <c r="A12" t="str">
        <f>Grades!A12</f>
        <v>Last_3</v>
      </c>
      <c r="B12" t="str">
        <f>Grades!B12</f>
        <v>First_3</v>
      </c>
      <c r="C12" s="12">
        <f>Grades!C12</f>
        <v>77896340</v>
      </c>
      <c r="D12" s="13">
        <f t="shared" si="1"/>
        <v>0</v>
      </c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3"/>
      <c r="Y12" s="13"/>
      <c r="Z12" s="13"/>
      <c r="AB12" s="13">
        <f t="shared" si="2"/>
        <v>0</v>
      </c>
      <c r="AC12" s="13">
        <f t="shared" si="3"/>
        <v>0</v>
      </c>
      <c r="AD12" s="13">
        <f t="shared" si="4"/>
        <v>0</v>
      </c>
      <c r="AE12" s="13">
        <f t="shared" si="5"/>
        <v>0</v>
      </c>
      <c r="AF12" s="13">
        <f t="shared" si="6"/>
        <v>0</v>
      </c>
      <c r="AG12" s="13">
        <f t="shared" si="7"/>
        <v>0</v>
      </c>
      <c r="AH12" s="13">
        <f t="shared" si="8"/>
        <v>0</v>
      </c>
      <c r="AI12" s="13">
        <f t="shared" si="9"/>
        <v>0</v>
      </c>
      <c r="AJ12" s="13">
        <f t="shared" si="10"/>
        <v>0</v>
      </c>
      <c r="AK12" s="13">
        <f t="shared" si="11"/>
        <v>0</v>
      </c>
      <c r="AL12" s="13">
        <f t="shared" si="12"/>
        <v>0</v>
      </c>
      <c r="AM12" s="13">
        <f t="shared" si="13"/>
        <v>0</v>
      </c>
      <c r="AO12" s="14">
        <f t="shared" si="14"/>
        <v>0</v>
      </c>
      <c r="AP12" s="14">
        <f t="shared" si="0"/>
        <v>0</v>
      </c>
      <c r="AQ12" s="14">
        <f t="shared" si="0"/>
        <v>0</v>
      </c>
      <c r="AR12" s="14">
        <f t="shared" si="0"/>
        <v>0</v>
      </c>
      <c r="AS12" s="14">
        <f t="shared" si="0"/>
        <v>0</v>
      </c>
      <c r="AT12" s="14">
        <f t="shared" si="0"/>
        <v>0</v>
      </c>
      <c r="AU12" s="14">
        <f t="shared" si="0"/>
        <v>0</v>
      </c>
      <c r="AV12" s="14">
        <f t="shared" si="0"/>
        <v>0</v>
      </c>
      <c r="AW12" s="14">
        <f t="shared" si="0"/>
        <v>0</v>
      </c>
      <c r="AX12" s="14">
        <f t="shared" si="0"/>
        <v>0</v>
      </c>
      <c r="AY12" s="14">
        <f t="shared" si="0"/>
        <v>0</v>
      </c>
      <c r="AZ12" s="14">
        <f t="shared" si="0"/>
        <v>0</v>
      </c>
      <c r="BA12" s="15" t="s">
        <v>85</v>
      </c>
      <c r="BB12" s="18">
        <f>COUNTIF(AO$10:AO$100,"&gt;=" &amp; Summary!$B8)-SUM(BB10:BB11)</f>
        <v>0</v>
      </c>
      <c r="BC12" s="18">
        <f>COUNTIF(AP$10:AP$100,"&gt;=" &amp; Summary!$B8)-SUM(BC10:BC11)</f>
        <v>0</v>
      </c>
      <c r="BD12" s="18">
        <f>COUNTIF(AQ$10:AQ$100,"&gt;=" &amp; Summary!$B8)-SUM(BD10:BD11)</f>
        <v>0</v>
      </c>
      <c r="BE12" s="18">
        <f>COUNTIF(AR$10:AR$100,"&gt;=" &amp; Summary!$B8)-SUM(BE10:BE11)</f>
        <v>0</v>
      </c>
      <c r="BF12" s="18">
        <f>COUNTIF(AS$10:AS$100,"&gt;=" &amp; Summary!$B8)-SUM(BF10:BF11)</f>
        <v>0</v>
      </c>
      <c r="BG12" s="18">
        <f>COUNTIF(AT$10:AT$100,"&gt;=" &amp; Summary!$B8)-SUM(BG10:BG11)</f>
        <v>0</v>
      </c>
      <c r="BH12" s="18">
        <f>COUNTIF(AU$10:AU$100,"&gt;=" &amp; Summary!$B8)-SUM(BH10:BH11)</f>
        <v>0</v>
      </c>
      <c r="BI12" s="18">
        <f>COUNTIF(AV$10:AV$100,"&gt;=" &amp; Summary!$B8)-SUM(BI10:BI11)</f>
        <v>0</v>
      </c>
      <c r="BJ12" s="18">
        <f>COUNTIF(AW$10:AW$100,"&gt;=" &amp; Summary!$B8)-SUM(BJ10:BJ11)</f>
        <v>0</v>
      </c>
      <c r="BK12" s="18">
        <f>COUNTIF(AX$10:AX$100,"&gt;=" &amp; Summary!$B8)-SUM(BK10:BK11)</f>
        <v>0</v>
      </c>
      <c r="BL12" s="18">
        <f>COUNTIF(AY$10:AY$100,"&gt;=" &amp; Summary!$B8)-SUM(BL10:BL11)</f>
        <v>0</v>
      </c>
      <c r="BM12" s="18">
        <f>COUNTIF(AZ$10:AZ$100,"&gt;=" &amp; Summary!$B8)-SUM(BM10:BM11)</f>
        <v>0</v>
      </c>
    </row>
    <row r="13" spans="1:65">
      <c r="A13" t="str">
        <f>Grades!A13</f>
        <v>Last_4</v>
      </c>
      <c r="B13" t="str">
        <f>Grades!B13</f>
        <v>First_4</v>
      </c>
      <c r="C13" s="12">
        <f>Grades!C13</f>
        <v>10472860</v>
      </c>
      <c r="D13" s="13">
        <f t="shared" si="1"/>
        <v>0</v>
      </c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B13" s="13">
        <f t="shared" si="2"/>
        <v>0</v>
      </c>
      <c r="AC13" s="13">
        <f t="shared" si="3"/>
        <v>0</v>
      </c>
      <c r="AD13" s="13">
        <f t="shared" si="4"/>
        <v>0</v>
      </c>
      <c r="AE13" s="13">
        <f t="shared" si="5"/>
        <v>0</v>
      </c>
      <c r="AF13" s="13">
        <f t="shared" si="6"/>
        <v>0</v>
      </c>
      <c r="AG13" s="13">
        <f t="shared" si="7"/>
        <v>0</v>
      </c>
      <c r="AH13" s="13">
        <f t="shared" si="8"/>
        <v>0</v>
      </c>
      <c r="AI13" s="13">
        <f t="shared" si="9"/>
        <v>0</v>
      </c>
      <c r="AJ13" s="13">
        <f t="shared" si="10"/>
        <v>0</v>
      </c>
      <c r="AK13" s="13">
        <f t="shared" si="11"/>
        <v>0</v>
      </c>
      <c r="AL13" s="13">
        <f t="shared" si="12"/>
        <v>0</v>
      </c>
      <c r="AM13" s="13">
        <f t="shared" si="13"/>
        <v>0</v>
      </c>
      <c r="AO13" s="14">
        <f t="shared" si="14"/>
        <v>0</v>
      </c>
      <c r="AP13" s="14">
        <f t="shared" si="0"/>
        <v>0</v>
      </c>
      <c r="AQ13" s="14">
        <f t="shared" si="0"/>
        <v>0</v>
      </c>
      <c r="AR13" s="14">
        <f t="shared" si="0"/>
        <v>0</v>
      </c>
      <c r="AS13" s="14">
        <f t="shared" si="0"/>
        <v>0</v>
      </c>
      <c r="AT13" s="14">
        <f t="shared" si="0"/>
        <v>0</v>
      </c>
      <c r="AU13" s="14">
        <f t="shared" si="0"/>
        <v>0</v>
      </c>
      <c r="AV13" s="14">
        <f t="shared" si="0"/>
        <v>0</v>
      </c>
      <c r="AW13" s="14">
        <f t="shared" si="0"/>
        <v>0</v>
      </c>
      <c r="AX13" s="14">
        <f t="shared" si="0"/>
        <v>0</v>
      </c>
      <c r="AY13" s="14">
        <f t="shared" si="0"/>
        <v>0</v>
      </c>
      <c r="AZ13" s="14">
        <f t="shared" si="0"/>
        <v>0</v>
      </c>
      <c r="BA13" s="15" t="s">
        <v>86</v>
      </c>
      <c r="BB13" s="18">
        <f>COUNTIF(AO$10:AO$100,"&gt;=" &amp; Summary!$B9)-SUM(BB10:BB12)</f>
        <v>0</v>
      </c>
      <c r="BC13" s="18">
        <f>COUNTIF(AP$10:AP$100,"&gt;=" &amp; Summary!$B9)-SUM(BC10:BC12)</f>
        <v>0</v>
      </c>
      <c r="BD13" s="18">
        <f>COUNTIF(AQ$10:AQ$100,"&gt;=" &amp; Summary!$B9)-SUM(BD10:BD12)</f>
        <v>0</v>
      </c>
      <c r="BE13" s="18">
        <f>COUNTIF(AR$10:AR$100,"&gt;=" &amp; Summary!$B9)-SUM(BE10:BE12)</f>
        <v>0</v>
      </c>
      <c r="BF13" s="18">
        <f>COUNTIF(AS$10:AS$100,"&gt;=" &amp; Summary!$B9)-SUM(BF10:BF12)</f>
        <v>0</v>
      </c>
      <c r="BG13" s="18">
        <f>COUNTIF(AT$10:AT$100,"&gt;=" &amp; Summary!$B9)-SUM(BG10:BG12)</f>
        <v>0</v>
      </c>
      <c r="BH13" s="18">
        <f>COUNTIF(AU$10:AU$100,"&gt;=" &amp; Summary!$B9)-SUM(BH10:BH12)</f>
        <v>0</v>
      </c>
      <c r="BI13" s="18">
        <f>COUNTIF(AV$10:AV$100,"&gt;=" &amp; Summary!$B9)-SUM(BI10:BI12)</f>
        <v>0</v>
      </c>
      <c r="BJ13" s="18">
        <f>COUNTIF(AW$10:AW$100,"&gt;=" &amp; Summary!$B9)-SUM(BJ10:BJ12)</f>
        <v>0</v>
      </c>
      <c r="BK13" s="18">
        <f>COUNTIF(AX$10:AX$100,"&gt;=" &amp; Summary!$B9)-SUM(BK10:BK12)</f>
        <v>0</v>
      </c>
      <c r="BL13" s="18">
        <f>COUNTIF(AY$10:AY$100,"&gt;=" &amp; Summary!$B9)-SUM(BL10:BL12)</f>
        <v>0</v>
      </c>
      <c r="BM13" s="18">
        <f>COUNTIF(AZ$10:AZ$100,"&gt;=" &amp; Summary!$B9)-SUM(BM10:BM12)</f>
        <v>0</v>
      </c>
    </row>
    <row r="14" spans="1:65">
      <c r="A14" t="str">
        <f>Grades!A14</f>
        <v>Last_5</v>
      </c>
      <c r="B14" t="str">
        <f>Grades!B14</f>
        <v>First_5</v>
      </c>
      <c r="C14" s="12">
        <f>Grades!C14</f>
        <v>97458323</v>
      </c>
      <c r="D14" s="13">
        <f t="shared" si="1"/>
        <v>0</v>
      </c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3"/>
      <c r="Y14" s="13"/>
      <c r="Z14" s="13"/>
      <c r="AB14" s="13">
        <f t="shared" si="2"/>
        <v>0</v>
      </c>
      <c r="AC14" s="13">
        <f t="shared" si="3"/>
        <v>0</v>
      </c>
      <c r="AD14" s="13">
        <f t="shared" si="4"/>
        <v>0</v>
      </c>
      <c r="AE14" s="13">
        <f t="shared" si="5"/>
        <v>0</v>
      </c>
      <c r="AF14" s="13">
        <f t="shared" si="6"/>
        <v>0</v>
      </c>
      <c r="AG14" s="13">
        <f t="shared" si="7"/>
        <v>0</v>
      </c>
      <c r="AH14" s="13">
        <f t="shared" si="8"/>
        <v>0</v>
      </c>
      <c r="AI14" s="13">
        <f t="shared" si="9"/>
        <v>0</v>
      </c>
      <c r="AJ14" s="13">
        <f t="shared" si="10"/>
        <v>0</v>
      </c>
      <c r="AK14" s="13">
        <f t="shared" si="11"/>
        <v>0</v>
      </c>
      <c r="AL14" s="13">
        <f t="shared" si="12"/>
        <v>0</v>
      </c>
      <c r="AM14" s="13">
        <f t="shared" si="13"/>
        <v>0</v>
      </c>
      <c r="AO14" s="14">
        <f t="shared" si="14"/>
        <v>0</v>
      </c>
      <c r="AP14" s="14">
        <f t="shared" si="0"/>
        <v>0</v>
      </c>
      <c r="AQ14" s="14">
        <f t="shared" si="0"/>
        <v>0</v>
      </c>
      <c r="AR14" s="14">
        <f t="shared" si="0"/>
        <v>0</v>
      </c>
      <c r="AS14" s="14">
        <f t="shared" si="0"/>
        <v>0</v>
      </c>
      <c r="AT14" s="14">
        <f t="shared" si="0"/>
        <v>0</v>
      </c>
      <c r="AU14" s="14">
        <f t="shared" si="0"/>
        <v>0</v>
      </c>
      <c r="AV14" s="14">
        <f t="shared" si="0"/>
        <v>0</v>
      </c>
      <c r="AW14" s="14">
        <f t="shared" si="0"/>
        <v>0</v>
      </c>
      <c r="AX14" s="14">
        <f t="shared" si="0"/>
        <v>0</v>
      </c>
      <c r="AY14" s="14">
        <f t="shared" si="0"/>
        <v>0</v>
      </c>
      <c r="AZ14" s="14">
        <f t="shared" si="0"/>
        <v>0</v>
      </c>
      <c r="BA14" s="15" t="s">
        <v>87</v>
      </c>
      <c r="BB14" s="18">
        <f>COUNTIF(AO$10:AO$100,"&gt;" &amp; Summary!$B10)-SUM(BB10:BB13)</f>
        <v>0</v>
      </c>
      <c r="BC14" s="18">
        <f>COUNTIF(AP$10:AP$100,"&gt;" &amp; Summary!$B10)-SUM(BC10:BC13)</f>
        <v>0</v>
      </c>
      <c r="BD14" s="18">
        <f>COUNTIF(AQ$10:AQ$100,"&gt;" &amp; Summary!$B10)-SUM(BD10:BD13)</f>
        <v>0</v>
      </c>
      <c r="BE14" s="18">
        <f>COUNTIF(AR$10:AR$100,"&gt;" &amp; Summary!$B10)-SUM(BE10:BE13)</f>
        <v>0</v>
      </c>
      <c r="BF14" s="18">
        <f>COUNTIF(AS$10:AS$100,"&gt;" &amp; Summary!$B10)-SUM(BF10:BF13)</f>
        <v>0</v>
      </c>
      <c r="BG14" s="18">
        <f>COUNTIF(AT$10:AT$100,"&gt;" &amp; Summary!$B10)-SUM(BG10:BG13)</f>
        <v>0</v>
      </c>
      <c r="BH14" s="18">
        <f>COUNTIF(AU$10:AU$100,"&gt;" &amp; Summary!$B10)-SUM(BH10:BH13)</f>
        <v>0</v>
      </c>
      <c r="BI14" s="18">
        <f>COUNTIF(AV$10:AV$100,"&gt;" &amp; Summary!$B10)-SUM(BI10:BI13)</f>
        <v>0</v>
      </c>
      <c r="BJ14" s="18">
        <f>COUNTIF(AW$10:AW$100,"&gt;" &amp; Summary!$B10)-SUM(BJ10:BJ13)</f>
        <v>0</v>
      </c>
      <c r="BK14" s="18">
        <f>COUNTIF(AX$10:AX$100,"&gt;" &amp; Summary!$B10)-SUM(BK10:BK13)</f>
        <v>0</v>
      </c>
      <c r="BL14" s="18">
        <f>COUNTIF(AY$10:AY$100,"&gt;" &amp; Summary!$B10)-SUM(BL10:BL13)</f>
        <v>0</v>
      </c>
      <c r="BM14" s="18">
        <f>COUNTIF(AZ$10:AZ$100,"&gt;" &amp; Summary!$B10)-SUM(BM10:BM13)</f>
        <v>0</v>
      </c>
    </row>
    <row r="15" spans="1:65">
      <c r="A15" t="str">
        <f>Grades!A15</f>
        <v>Last_6</v>
      </c>
      <c r="B15" t="str">
        <f>Grades!B15</f>
        <v>First_6</v>
      </c>
      <c r="C15" s="12">
        <f>Grades!C15</f>
        <v>54710323</v>
      </c>
      <c r="D15" s="13">
        <f t="shared" si="1"/>
        <v>0</v>
      </c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B15" s="13">
        <f t="shared" si="2"/>
        <v>0</v>
      </c>
      <c r="AC15" s="13">
        <f t="shared" si="3"/>
        <v>0</v>
      </c>
      <c r="AD15" s="13">
        <f t="shared" si="4"/>
        <v>0</v>
      </c>
      <c r="AE15" s="13">
        <f t="shared" si="5"/>
        <v>0</v>
      </c>
      <c r="AF15" s="13">
        <f t="shared" si="6"/>
        <v>0</v>
      </c>
      <c r="AG15" s="13">
        <f t="shared" si="7"/>
        <v>0</v>
      </c>
      <c r="AH15" s="13">
        <f t="shared" si="8"/>
        <v>0</v>
      </c>
      <c r="AI15" s="13">
        <f t="shared" si="9"/>
        <v>0</v>
      </c>
      <c r="AJ15" s="13">
        <f t="shared" si="10"/>
        <v>0</v>
      </c>
      <c r="AK15" s="13">
        <f t="shared" si="11"/>
        <v>0</v>
      </c>
      <c r="AL15" s="13">
        <f t="shared" si="12"/>
        <v>0</v>
      </c>
      <c r="AM15" s="13">
        <f t="shared" si="13"/>
        <v>0</v>
      </c>
      <c r="AO15" s="14">
        <f t="shared" si="14"/>
        <v>0</v>
      </c>
      <c r="AP15" s="14">
        <f t="shared" si="0"/>
        <v>0</v>
      </c>
      <c r="AQ15" s="14">
        <f t="shared" si="0"/>
        <v>0</v>
      </c>
      <c r="AR15" s="14">
        <f t="shared" si="0"/>
        <v>0</v>
      </c>
      <c r="AS15" s="14">
        <f t="shared" si="0"/>
        <v>0</v>
      </c>
      <c r="AT15" s="14">
        <f t="shared" si="0"/>
        <v>0</v>
      </c>
      <c r="AU15" s="14">
        <f t="shared" si="0"/>
        <v>0</v>
      </c>
      <c r="AV15" s="14">
        <f t="shared" si="0"/>
        <v>0</v>
      </c>
      <c r="AW15" s="14">
        <f t="shared" si="0"/>
        <v>0</v>
      </c>
      <c r="AX15" s="14">
        <f t="shared" si="0"/>
        <v>0</v>
      </c>
      <c r="AY15" s="14">
        <f t="shared" si="0"/>
        <v>0</v>
      </c>
      <c r="AZ15" s="14">
        <f t="shared" si="0"/>
        <v>0</v>
      </c>
      <c r="BA15" s="15"/>
      <c r="BB15" s="15">
        <f t="shared" ref="BB15:BM15" si="15">SUM(BB10:BB14)</f>
        <v>0</v>
      </c>
      <c r="BC15" s="15">
        <f t="shared" si="15"/>
        <v>0</v>
      </c>
      <c r="BD15" s="15">
        <f t="shared" si="15"/>
        <v>0</v>
      </c>
      <c r="BE15" s="15">
        <f t="shared" si="15"/>
        <v>0</v>
      </c>
      <c r="BF15" s="15">
        <f t="shared" si="15"/>
        <v>0</v>
      </c>
      <c r="BG15" s="15">
        <f t="shared" si="15"/>
        <v>0</v>
      </c>
      <c r="BH15" s="15">
        <f t="shared" si="15"/>
        <v>0</v>
      </c>
      <c r="BI15" s="15">
        <f t="shared" si="15"/>
        <v>0</v>
      </c>
      <c r="BJ15" s="15">
        <f t="shared" si="15"/>
        <v>0</v>
      </c>
      <c r="BK15" s="15">
        <f t="shared" si="15"/>
        <v>0</v>
      </c>
      <c r="BL15" s="15">
        <f t="shared" si="15"/>
        <v>0</v>
      </c>
      <c r="BM15" s="15">
        <f t="shared" si="15"/>
        <v>0</v>
      </c>
    </row>
    <row r="16" spans="1:65">
      <c r="A16" t="str">
        <f>Grades!A16</f>
        <v>Last_7</v>
      </c>
      <c r="B16" t="str">
        <f>Grades!B16</f>
        <v>First_7</v>
      </c>
      <c r="C16" s="12">
        <f>Grades!C16</f>
        <v>57528013</v>
      </c>
      <c r="D16" s="13">
        <f t="shared" si="1"/>
        <v>0</v>
      </c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B16" s="13">
        <f t="shared" si="2"/>
        <v>0</v>
      </c>
      <c r="AC16" s="13">
        <f t="shared" si="3"/>
        <v>0</v>
      </c>
      <c r="AD16" s="13">
        <f t="shared" si="4"/>
        <v>0</v>
      </c>
      <c r="AE16" s="13">
        <f t="shared" si="5"/>
        <v>0</v>
      </c>
      <c r="AF16" s="13">
        <f t="shared" si="6"/>
        <v>0</v>
      </c>
      <c r="AG16" s="13">
        <f t="shared" si="7"/>
        <v>0</v>
      </c>
      <c r="AH16" s="13">
        <f t="shared" si="8"/>
        <v>0</v>
      </c>
      <c r="AI16" s="13">
        <f t="shared" si="9"/>
        <v>0</v>
      </c>
      <c r="AJ16" s="13">
        <f t="shared" si="10"/>
        <v>0</v>
      </c>
      <c r="AK16" s="13">
        <f t="shared" si="11"/>
        <v>0</v>
      </c>
      <c r="AL16" s="13">
        <f t="shared" si="12"/>
        <v>0</v>
      </c>
      <c r="AM16" s="13">
        <f t="shared" si="13"/>
        <v>0</v>
      </c>
      <c r="AO16" s="14">
        <f t="shared" si="14"/>
        <v>0</v>
      </c>
      <c r="AP16" s="14">
        <f t="shared" si="0"/>
        <v>0</v>
      </c>
      <c r="AQ16" s="14">
        <f t="shared" si="0"/>
        <v>0</v>
      </c>
      <c r="AR16" s="14">
        <f t="shared" si="0"/>
        <v>0</v>
      </c>
      <c r="AS16" s="14">
        <f t="shared" si="0"/>
        <v>0</v>
      </c>
      <c r="AT16" s="14">
        <f t="shared" si="0"/>
        <v>0</v>
      </c>
      <c r="AU16" s="14">
        <f t="shared" si="0"/>
        <v>0</v>
      </c>
      <c r="AV16" s="14">
        <f t="shared" si="0"/>
        <v>0</v>
      </c>
      <c r="AW16" s="14">
        <f t="shared" si="0"/>
        <v>0</v>
      </c>
      <c r="AX16" s="14">
        <f t="shared" si="0"/>
        <v>0</v>
      </c>
      <c r="AY16" s="14">
        <f t="shared" si="0"/>
        <v>0</v>
      </c>
      <c r="AZ16" s="14">
        <f t="shared" si="0"/>
        <v>0</v>
      </c>
    </row>
    <row r="17" spans="1:52">
      <c r="A17" t="str">
        <f>Grades!A17</f>
        <v>Last_8</v>
      </c>
      <c r="B17" t="str">
        <f>Grades!B17</f>
        <v>First_8</v>
      </c>
      <c r="C17" s="12">
        <f>Grades!C17</f>
        <v>46076400</v>
      </c>
      <c r="D17" s="13">
        <f t="shared" si="1"/>
        <v>0</v>
      </c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  <c r="AB17" s="13">
        <f t="shared" si="2"/>
        <v>0</v>
      </c>
      <c r="AC17" s="13">
        <f t="shared" si="3"/>
        <v>0</v>
      </c>
      <c r="AD17" s="13">
        <f t="shared" si="4"/>
        <v>0</v>
      </c>
      <c r="AE17" s="13">
        <f t="shared" si="5"/>
        <v>0</v>
      </c>
      <c r="AF17" s="13">
        <f t="shared" si="6"/>
        <v>0</v>
      </c>
      <c r="AG17" s="13">
        <f t="shared" si="7"/>
        <v>0</v>
      </c>
      <c r="AH17" s="13">
        <f t="shared" si="8"/>
        <v>0</v>
      </c>
      <c r="AI17" s="13">
        <f t="shared" si="9"/>
        <v>0</v>
      </c>
      <c r="AJ17" s="13">
        <f t="shared" si="10"/>
        <v>0</v>
      </c>
      <c r="AK17" s="13">
        <f t="shared" si="11"/>
        <v>0</v>
      </c>
      <c r="AL17" s="13">
        <f t="shared" si="12"/>
        <v>0</v>
      </c>
      <c r="AM17" s="13">
        <f t="shared" si="13"/>
        <v>0</v>
      </c>
      <c r="AO17" s="14">
        <f t="shared" si="14"/>
        <v>0</v>
      </c>
      <c r="AP17" s="14">
        <f t="shared" si="0"/>
        <v>0</v>
      </c>
      <c r="AQ17" s="14">
        <f t="shared" si="0"/>
        <v>0</v>
      </c>
      <c r="AR17" s="14">
        <f t="shared" si="0"/>
        <v>0</v>
      </c>
      <c r="AS17" s="14">
        <f t="shared" si="0"/>
        <v>0</v>
      </c>
      <c r="AT17" s="14">
        <f t="shared" si="0"/>
        <v>0</v>
      </c>
      <c r="AU17" s="14">
        <f t="shared" si="0"/>
        <v>0</v>
      </c>
      <c r="AV17" s="14">
        <f t="shared" si="0"/>
        <v>0</v>
      </c>
      <c r="AW17" s="14">
        <f t="shared" si="0"/>
        <v>0</v>
      </c>
      <c r="AX17" s="14">
        <f t="shared" si="0"/>
        <v>0</v>
      </c>
      <c r="AY17" s="14">
        <f t="shared" si="0"/>
        <v>0</v>
      </c>
      <c r="AZ17" s="14">
        <f t="shared" si="0"/>
        <v>0</v>
      </c>
    </row>
    <row r="18" spans="1:52">
      <c r="A18" t="str">
        <f>Grades!A18</f>
        <v>Last_9</v>
      </c>
      <c r="B18" t="str">
        <f>Grades!B18</f>
        <v>First_9</v>
      </c>
      <c r="C18" s="12">
        <f>Grades!C18</f>
        <v>68224023</v>
      </c>
      <c r="D18" s="13">
        <f t="shared" si="1"/>
        <v>0</v>
      </c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  <c r="AB18" s="13">
        <f t="shared" si="2"/>
        <v>0</v>
      </c>
      <c r="AC18" s="13">
        <f t="shared" si="3"/>
        <v>0</v>
      </c>
      <c r="AD18" s="13">
        <f t="shared" si="4"/>
        <v>0</v>
      </c>
      <c r="AE18" s="13">
        <f t="shared" si="5"/>
        <v>0</v>
      </c>
      <c r="AF18" s="13">
        <f t="shared" si="6"/>
        <v>0</v>
      </c>
      <c r="AG18" s="13">
        <f t="shared" si="7"/>
        <v>0</v>
      </c>
      <c r="AH18" s="13">
        <f t="shared" si="8"/>
        <v>0</v>
      </c>
      <c r="AI18" s="13">
        <f t="shared" si="9"/>
        <v>0</v>
      </c>
      <c r="AJ18" s="13">
        <f t="shared" si="10"/>
        <v>0</v>
      </c>
      <c r="AK18" s="13">
        <f t="shared" si="11"/>
        <v>0</v>
      </c>
      <c r="AL18" s="13">
        <f t="shared" si="12"/>
        <v>0</v>
      </c>
      <c r="AM18" s="13">
        <f t="shared" si="13"/>
        <v>0</v>
      </c>
      <c r="AO18" s="14">
        <f t="shared" si="14"/>
        <v>0</v>
      </c>
      <c r="AP18" s="14">
        <f t="shared" si="0"/>
        <v>0</v>
      </c>
      <c r="AQ18" s="14">
        <f t="shared" si="0"/>
        <v>0</v>
      </c>
      <c r="AR18" s="14">
        <f t="shared" si="0"/>
        <v>0</v>
      </c>
      <c r="AS18" s="14">
        <f t="shared" si="0"/>
        <v>0</v>
      </c>
      <c r="AT18" s="14">
        <f t="shared" si="0"/>
        <v>0</v>
      </c>
      <c r="AU18" s="14">
        <f t="shared" si="0"/>
        <v>0</v>
      </c>
      <c r="AV18" s="14">
        <f t="shared" si="0"/>
        <v>0</v>
      </c>
      <c r="AW18" s="14">
        <f t="shared" si="0"/>
        <v>0</v>
      </c>
      <c r="AX18" s="14">
        <f t="shared" si="0"/>
        <v>0</v>
      </c>
      <c r="AY18" s="14">
        <f t="shared" si="0"/>
        <v>0</v>
      </c>
      <c r="AZ18" s="14">
        <f t="shared" si="0"/>
        <v>0</v>
      </c>
    </row>
    <row r="19" spans="1:52">
      <c r="A19" t="str">
        <f>Grades!A19</f>
        <v>Last_10</v>
      </c>
      <c r="B19" t="str">
        <f>Grades!B19</f>
        <v>First_10</v>
      </c>
      <c r="C19" s="12">
        <f>Grades!C19</f>
        <v>44898071</v>
      </c>
      <c r="D19" s="13">
        <f t="shared" si="1"/>
        <v>0</v>
      </c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3"/>
      <c r="Y19" s="13"/>
      <c r="Z19" s="13"/>
      <c r="AB19" s="13">
        <f t="shared" si="2"/>
        <v>0</v>
      </c>
      <c r="AC19" s="13">
        <f t="shared" si="3"/>
        <v>0</v>
      </c>
      <c r="AD19" s="13">
        <f t="shared" si="4"/>
        <v>0</v>
      </c>
      <c r="AE19" s="13">
        <f t="shared" si="5"/>
        <v>0</v>
      </c>
      <c r="AF19" s="13">
        <f t="shared" si="6"/>
        <v>0</v>
      </c>
      <c r="AG19" s="13">
        <f t="shared" si="7"/>
        <v>0</v>
      </c>
      <c r="AH19" s="13">
        <f t="shared" si="8"/>
        <v>0</v>
      </c>
      <c r="AI19" s="13">
        <f t="shared" si="9"/>
        <v>0</v>
      </c>
      <c r="AJ19" s="13">
        <f t="shared" si="10"/>
        <v>0</v>
      </c>
      <c r="AK19" s="13">
        <f t="shared" si="11"/>
        <v>0</v>
      </c>
      <c r="AL19" s="13">
        <f t="shared" si="12"/>
        <v>0</v>
      </c>
      <c r="AM19" s="13">
        <f t="shared" si="13"/>
        <v>0</v>
      </c>
      <c r="AO19" s="14">
        <f t="shared" si="14"/>
        <v>0</v>
      </c>
      <c r="AP19" s="14">
        <f t="shared" si="0"/>
        <v>0</v>
      </c>
      <c r="AQ19" s="14">
        <f t="shared" si="0"/>
        <v>0</v>
      </c>
      <c r="AR19" s="14">
        <f t="shared" si="0"/>
        <v>0</v>
      </c>
      <c r="AS19" s="14">
        <f t="shared" si="0"/>
        <v>0</v>
      </c>
      <c r="AT19" s="14">
        <f t="shared" si="0"/>
        <v>0</v>
      </c>
      <c r="AU19" s="14">
        <f t="shared" si="0"/>
        <v>0</v>
      </c>
      <c r="AV19" s="14">
        <f t="shared" si="0"/>
        <v>0</v>
      </c>
      <c r="AW19" s="14">
        <f t="shared" si="0"/>
        <v>0</v>
      </c>
      <c r="AX19" s="14">
        <f t="shared" si="0"/>
        <v>0</v>
      </c>
      <c r="AY19" s="14">
        <f t="shared" si="0"/>
        <v>0</v>
      </c>
      <c r="AZ19" s="14">
        <f t="shared" si="0"/>
        <v>0</v>
      </c>
    </row>
    <row r="20" spans="1:52">
      <c r="A20" t="str">
        <f>Grades!A20</f>
        <v>Last_11</v>
      </c>
      <c r="B20" t="str">
        <f>Grades!B20</f>
        <v>First_11</v>
      </c>
      <c r="C20" s="12">
        <f>Grades!C20</f>
        <v>61782509</v>
      </c>
      <c r="D20" s="13">
        <f t="shared" si="1"/>
        <v>0</v>
      </c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13"/>
      <c r="AB20" s="13">
        <f t="shared" si="2"/>
        <v>0</v>
      </c>
      <c r="AC20" s="13">
        <f t="shared" si="3"/>
        <v>0</v>
      </c>
      <c r="AD20" s="13">
        <f t="shared" si="4"/>
        <v>0</v>
      </c>
      <c r="AE20" s="13">
        <f t="shared" si="5"/>
        <v>0</v>
      </c>
      <c r="AF20" s="13">
        <f t="shared" si="6"/>
        <v>0</v>
      </c>
      <c r="AG20" s="13">
        <f t="shared" si="7"/>
        <v>0</v>
      </c>
      <c r="AH20" s="13">
        <f t="shared" si="8"/>
        <v>0</v>
      </c>
      <c r="AI20" s="13">
        <f t="shared" si="9"/>
        <v>0</v>
      </c>
      <c r="AJ20" s="13">
        <f t="shared" si="10"/>
        <v>0</v>
      </c>
      <c r="AK20" s="13">
        <f t="shared" si="11"/>
        <v>0</v>
      </c>
      <c r="AL20" s="13">
        <f t="shared" si="12"/>
        <v>0</v>
      </c>
      <c r="AM20" s="13">
        <f t="shared" si="13"/>
        <v>0</v>
      </c>
      <c r="AO20" s="14">
        <f t="shared" si="14"/>
        <v>0</v>
      </c>
      <c r="AP20" s="14">
        <f t="shared" si="0"/>
        <v>0</v>
      </c>
      <c r="AQ20" s="14">
        <f t="shared" si="0"/>
        <v>0</v>
      </c>
      <c r="AR20" s="14">
        <f t="shared" si="0"/>
        <v>0</v>
      </c>
      <c r="AS20" s="14">
        <f t="shared" si="0"/>
        <v>0</v>
      </c>
      <c r="AT20" s="14">
        <f t="shared" si="0"/>
        <v>0</v>
      </c>
      <c r="AU20" s="14">
        <f t="shared" si="0"/>
        <v>0</v>
      </c>
      <c r="AV20" s="14">
        <f t="shared" si="0"/>
        <v>0</v>
      </c>
      <c r="AW20" s="14">
        <f t="shared" si="0"/>
        <v>0</v>
      </c>
      <c r="AX20" s="14">
        <f t="shared" si="0"/>
        <v>0</v>
      </c>
      <c r="AY20" s="14">
        <f t="shared" si="0"/>
        <v>0</v>
      </c>
      <c r="AZ20" s="14">
        <f t="shared" si="0"/>
        <v>0</v>
      </c>
    </row>
    <row r="21" spans="1:52">
      <c r="A21" t="str">
        <f>Grades!A21</f>
        <v>Last_12</v>
      </c>
      <c r="B21" t="str">
        <f>Grades!B21</f>
        <v>First_12</v>
      </c>
      <c r="C21" s="12">
        <f>Grades!C21</f>
        <v>4197486</v>
      </c>
      <c r="D21" s="13">
        <f t="shared" si="1"/>
        <v>0</v>
      </c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  <c r="AB21" s="13">
        <f t="shared" si="2"/>
        <v>0</v>
      </c>
      <c r="AC21" s="13">
        <f t="shared" si="3"/>
        <v>0</v>
      </c>
      <c r="AD21" s="13">
        <f t="shared" si="4"/>
        <v>0</v>
      </c>
      <c r="AE21" s="13">
        <f t="shared" si="5"/>
        <v>0</v>
      </c>
      <c r="AF21" s="13">
        <f t="shared" si="6"/>
        <v>0</v>
      </c>
      <c r="AG21" s="13">
        <f t="shared" si="7"/>
        <v>0</v>
      </c>
      <c r="AH21" s="13">
        <f t="shared" si="8"/>
        <v>0</v>
      </c>
      <c r="AI21" s="13">
        <f t="shared" si="9"/>
        <v>0</v>
      </c>
      <c r="AJ21" s="13">
        <f t="shared" si="10"/>
        <v>0</v>
      </c>
      <c r="AK21" s="13">
        <f t="shared" si="11"/>
        <v>0</v>
      </c>
      <c r="AL21" s="13">
        <f t="shared" si="12"/>
        <v>0</v>
      </c>
      <c r="AM21" s="13">
        <f t="shared" si="13"/>
        <v>0</v>
      </c>
      <c r="AO21" s="14">
        <f t="shared" si="14"/>
        <v>0</v>
      </c>
      <c r="AP21" s="14">
        <f t="shared" si="0"/>
        <v>0</v>
      </c>
      <c r="AQ21" s="14">
        <f t="shared" si="0"/>
        <v>0</v>
      </c>
      <c r="AR21" s="14">
        <f t="shared" si="0"/>
        <v>0</v>
      </c>
      <c r="AS21" s="14">
        <f t="shared" si="0"/>
        <v>0</v>
      </c>
      <c r="AT21" s="14">
        <f t="shared" si="0"/>
        <v>0</v>
      </c>
      <c r="AU21" s="14">
        <f t="shared" si="0"/>
        <v>0</v>
      </c>
      <c r="AV21" s="14">
        <f t="shared" si="0"/>
        <v>0</v>
      </c>
      <c r="AW21" s="14">
        <f t="shared" si="0"/>
        <v>0</v>
      </c>
      <c r="AX21" s="14">
        <f t="shared" si="0"/>
        <v>0</v>
      </c>
      <c r="AY21" s="14">
        <f t="shared" si="0"/>
        <v>0</v>
      </c>
      <c r="AZ21" s="14">
        <f t="shared" si="0"/>
        <v>0</v>
      </c>
    </row>
    <row r="22" spans="1:52">
      <c r="A22" t="str">
        <f>Grades!A22</f>
        <v>Last_13</v>
      </c>
      <c r="B22" t="str">
        <f>Grades!B22</f>
        <v>First_13</v>
      </c>
      <c r="C22" s="12">
        <f>Grades!C22</f>
        <v>51295906</v>
      </c>
      <c r="D22" s="13">
        <f t="shared" si="1"/>
        <v>0</v>
      </c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3"/>
      <c r="Y22" s="13"/>
      <c r="Z22" s="13"/>
      <c r="AB22" s="13">
        <f t="shared" si="2"/>
        <v>0</v>
      </c>
      <c r="AC22" s="13">
        <f t="shared" si="3"/>
        <v>0</v>
      </c>
      <c r="AD22" s="13">
        <f t="shared" si="4"/>
        <v>0</v>
      </c>
      <c r="AE22" s="13">
        <f t="shared" si="5"/>
        <v>0</v>
      </c>
      <c r="AF22" s="13">
        <f t="shared" si="6"/>
        <v>0</v>
      </c>
      <c r="AG22" s="13">
        <f t="shared" si="7"/>
        <v>0</v>
      </c>
      <c r="AH22" s="13">
        <f t="shared" si="8"/>
        <v>0</v>
      </c>
      <c r="AI22" s="13">
        <f t="shared" si="9"/>
        <v>0</v>
      </c>
      <c r="AJ22" s="13">
        <f t="shared" si="10"/>
        <v>0</v>
      </c>
      <c r="AK22" s="13">
        <f t="shared" si="11"/>
        <v>0</v>
      </c>
      <c r="AL22" s="13">
        <f t="shared" si="12"/>
        <v>0</v>
      </c>
      <c r="AM22" s="13">
        <f t="shared" si="13"/>
        <v>0</v>
      </c>
      <c r="AO22" s="14">
        <f t="shared" si="14"/>
        <v>0</v>
      </c>
      <c r="AP22" s="14">
        <f t="shared" si="0"/>
        <v>0</v>
      </c>
      <c r="AQ22" s="14">
        <f t="shared" si="0"/>
        <v>0</v>
      </c>
      <c r="AR22" s="14">
        <f t="shared" si="0"/>
        <v>0</v>
      </c>
      <c r="AS22" s="14">
        <f t="shared" si="0"/>
        <v>0</v>
      </c>
      <c r="AT22" s="14">
        <f t="shared" si="0"/>
        <v>0</v>
      </c>
      <c r="AU22" s="14">
        <f t="shared" si="0"/>
        <v>0</v>
      </c>
      <c r="AV22" s="14">
        <f t="shared" si="0"/>
        <v>0</v>
      </c>
      <c r="AW22" s="14">
        <f t="shared" si="0"/>
        <v>0</v>
      </c>
      <c r="AX22" s="14">
        <f t="shared" si="0"/>
        <v>0</v>
      </c>
      <c r="AY22" s="14">
        <f t="shared" si="0"/>
        <v>0</v>
      </c>
      <c r="AZ22" s="14">
        <f t="shared" si="0"/>
        <v>0</v>
      </c>
    </row>
    <row r="23" spans="1:52">
      <c r="A23" t="str">
        <f>Grades!A23</f>
        <v>Last_14</v>
      </c>
      <c r="B23" t="str">
        <f>Grades!B23</f>
        <v>First_14</v>
      </c>
      <c r="C23" s="12">
        <f>Grades!C23</f>
        <v>19839573</v>
      </c>
      <c r="D23" s="13">
        <f t="shared" si="1"/>
        <v>0</v>
      </c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B23" s="13">
        <f t="shared" si="2"/>
        <v>0</v>
      </c>
      <c r="AC23" s="13">
        <f t="shared" si="3"/>
        <v>0</v>
      </c>
      <c r="AD23" s="13">
        <f t="shared" si="4"/>
        <v>0</v>
      </c>
      <c r="AE23" s="13">
        <f t="shared" si="5"/>
        <v>0</v>
      </c>
      <c r="AF23" s="13">
        <f t="shared" si="6"/>
        <v>0</v>
      </c>
      <c r="AG23" s="13">
        <f t="shared" si="7"/>
        <v>0</v>
      </c>
      <c r="AH23" s="13">
        <f t="shared" si="8"/>
        <v>0</v>
      </c>
      <c r="AI23" s="13">
        <f t="shared" si="9"/>
        <v>0</v>
      </c>
      <c r="AJ23" s="13">
        <f t="shared" si="10"/>
        <v>0</v>
      </c>
      <c r="AK23" s="13">
        <f t="shared" si="11"/>
        <v>0</v>
      </c>
      <c r="AL23" s="13">
        <f t="shared" si="12"/>
        <v>0</v>
      </c>
      <c r="AM23" s="13">
        <f t="shared" si="13"/>
        <v>0</v>
      </c>
      <c r="AO23" s="14">
        <f t="shared" si="14"/>
        <v>0</v>
      </c>
      <c r="AP23" s="14">
        <f t="shared" si="0"/>
        <v>0</v>
      </c>
      <c r="AQ23" s="14">
        <f t="shared" si="0"/>
        <v>0</v>
      </c>
      <c r="AR23" s="14">
        <f t="shared" si="0"/>
        <v>0</v>
      </c>
      <c r="AS23" s="14">
        <f t="shared" si="0"/>
        <v>0</v>
      </c>
      <c r="AT23" s="14">
        <f t="shared" si="0"/>
        <v>0</v>
      </c>
      <c r="AU23" s="14">
        <f t="shared" si="0"/>
        <v>0</v>
      </c>
      <c r="AV23" s="14">
        <f t="shared" si="0"/>
        <v>0</v>
      </c>
      <c r="AW23" s="14">
        <f t="shared" si="0"/>
        <v>0</v>
      </c>
      <c r="AX23" s="14">
        <f t="shared" si="0"/>
        <v>0</v>
      </c>
      <c r="AY23" s="14">
        <f t="shared" si="0"/>
        <v>0</v>
      </c>
      <c r="AZ23" s="14">
        <f t="shared" si="0"/>
        <v>0</v>
      </c>
    </row>
    <row r="24" spans="1:52">
      <c r="A24" t="str">
        <f>Grades!A24</f>
        <v>Last_15</v>
      </c>
      <c r="B24" t="str">
        <f>Grades!B24</f>
        <v>First_15</v>
      </c>
      <c r="C24" s="12">
        <f>Grades!C24</f>
        <v>54905777</v>
      </c>
      <c r="D24" s="13">
        <f t="shared" si="1"/>
        <v>0</v>
      </c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13"/>
      <c r="Y24" s="13"/>
      <c r="Z24" s="13"/>
      <c r="AB24" s="13">
        <f t="shared" si="2"/>
        <v>0</v>
      </c>
      <c r="AC24" s="13">
        <f t="shared" si="3"/>
        <v>0</v>
      </c>
      <c r="AD24" s="13">
        <f t="shared" si="4"/>
        <v>0</v>
      </c>
      <c r="AE24" s="13">
        <f t="shared" si="5"/>
        <v>0</v>
      </c>
      <c r="AF24" s="13">
        <f t="shared" si="6"/>
        <v>0</v>
      </c>
      <c r="AG24" s="13">
        <f t="shared" si="7"/>
        <v>0</v>
      </c>
      <c r="AH24" s="13">
        <f t="shared" si="8"/>
        <v>0</v>
      </c>
      <c r="AI24" s="13">
        <f t="shared" si="9"/>
        <v>0</v>
      </c>
      <c r="AJ24" s="13">
        <f t="shared" si="10"/>
        <v>0</v>
      </c>
      <c r="AK24" s="13">
        <f t="shared" si="11"/>
        <v>0</v>
      </c>
      <c r="AL24" s="13">
        <f t="shared" si="12"/>
        <v>0</v>
      </c>
      <c r="AM24" s="13">
        <f t="shared" si="13"/>
        <v>0</v>
      </c>
      <c r="AO24" s="14">
        <f t="shared" si="14"/>
        <v>0</v>
      </c>
      <c r="AP24" s="14">
        <f t="shared" si="0"/>
        <v>0</v>
      </c>
      <c r="AQ24" s="14">
        <f t="shared" si="0"/>
        <v>0</v>
      </c>
      <c r="AR24" s="14">
        <f t="shared" si="0"/>
        <v>0</v>
      </c>
      <c r="AS24" s="14">
        <f t="shared" si="0"/>
        <v>0</v>
      </c>
      <c r="AT24" s="14">
        <f t="shared" si="0"/>
        <v>0</v>
      </c>
      <c r="AU24" s="14">
        <f t="shared" si="0"/>
        <v>0</v>
      </c>
      <c r="AV24" s="14">
        <f t="shared" si="0"/>
        <v>0</v>
      </c>
      <c r="AW24" s="14">
        <f t="shared" si="0"/>
        <v>0</v>
      </c>
      <c r="AX24" s="14">
        <f t="shared" si="0"/>
        <v>0</v>
      </c>
      <c r="AY24" s="14">
        <f t="shared" si="0"/>
        <v>0</v>
      </c>
      <c r="AZ24" s="14">
        <f t="shared" si="0"/>
        <v>0</v>
      </c>
    </row>
    <row r="25" spans="1:52">
      <c r="A25" t="str">
        <f>Grades!A25</f>
        <v>Last_16</v>
      </c>
      <c r="B25" t="str">
        <f>Grades!B25</f>
        <v>First_16</v>
      </c>
      <c r="C25" s="12">
        <f>Grades!C25</f>
        <v>82030077</v>
      </c>
      <c r="D25" s="13">
        <f t="shared" si="1"/>
        <v>0</v>
      </c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  <c r="AB25" s="13">
        <f t="shared" si="2"/>
        <v>0</v>
      </c>
      <c r="AC25" s="13">
        <f t="shared" si="3"/>
        <v>0</v>
      </c>
      <c r="AD25" s="13">
        <f t="shared" si="4"/>
        <v>0</v>
      </c>
      <c r="AE25" s="13">
        <f t="shared" si="5"/>
        <v>0</v>
      </c>
      <c r="AF25" s="13">
        <f t="shared" si="6"/>
        <v>0</v>
      </c>
      <c r="AG25" s="13">
        <f t="shared" si="7"/>
        <v>0</v>
      </c>
      <c r="AH25" s="13">
        <f t="shared" si="8"/>
        <v>0</v>
      </c>
      <c r="AI25" s="13">
        <f t="shared" si="9"/>
        <v>0</v>
      </c>
      <c r="AJ25" s="13">
        <f t="shared" si="10"/>
        <v>0</v>
      </c>
      <c r="AK25" s="13">
        <f t="shared" si="11"/>
        <v>0</v>
      </c>
      <c r="AL25" s="13">
        <f t="shared" si="12"/>
        <v>0</v>
      </c>
      <c r="AM25" s="13">
        <f t="shared" si="13"/>
        <v>0</v>
      </c>
      <c r="AO25" s="14">
        <f t="shared" si="14"/>
        <v>0</v>
      </c>
      <c r="AP25" s="14">
        <f t="shared" si="0"/>
        <v>0</v>
      </c>
      <c r="AQ25" s="14">
        <f t="shared" si="0"/>
        <v>0</v>
      </c>
      <c r="AR25" s="14">
        <f t="shared" si="0"/>
        <v>0</v>
      </c>
      <c r="AS25" s="14">
        <f t="shared" si="0"/>
        <v>0</v>
      </c>
      <c r="AT25" s="14">
        <f t="shared" si="0"/>
        <v>0</v>
      </c>
      <c r="AU25" s="14">
        <f t="shared" si="0"/>
        <v>0</v>
      </c>
      <c r="AV25" s="14">
        <f t="shared" si="0"/>
        <v>0</v>
      </c>
      <c r="AW25" s="14">
        <f t="shared" si="0"/>
        <v>0</v>
      </c>
      <c r="AX25" s="14">
        <f t="shared" si="0"/>
        <v>0</v>
      </c>
      <c r="AY25" s="14">
        <f t="shared" si="0"/>
        <v>0</v>
      </c>
      <c r="AZ25" s="14">
        <f t="shared" si="0"/>
        <v>0</v>
      </c>
    </row>
    <row r="26" spans="1:52">
      <c r="A26" t="str">
        <f>Grades!A26</f>
        <v>Last_17</v>
      </c>
      <c r="B26" t="str">
        <f>Grades!B26</f>
        <v>First_17</v>
      </c>
      <c r="C26" s="12">
        <f>Grades!C26</f>
        <v>59206627</v>
      </c>
      <c r="D26" s="13">
        <f t="shared" si="1"/>
        <v>0</v>
      </c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  <c r="X26" s="13"/>
      <c r="Y26" s="13"/>
      <c r="Z26" s="13"/>
      <c r="AB26" s="13">
        <f t="shared" si="2"/>
        <v>0</v>
      </c>
      <c r="AC26" s="13">
        <f t="shared" si="3"/>
        <v>0</v>
      </c>
      <c r="AD26" s="13">
        <f t="shared" si="4"/>
        <v>0</v>
      </c>
      <c r="AE26" s="13">
        <f t="shared" si="5"/>
        <v>0</v>
      </c>
      <c r="AF26" s="13">
        <f t="shared" si="6"/>
        <v>0</v>
      </c>
      <c r="AG26" s="13">
        <f t="shared" si="7"/>
        <v>0</v>
      </c>
      <c r="AH26" s="13">
        <f t="shared" si="8"/>
        <v>0</v>
      </c>
      <c r="AI26" s="13">
        <f t="shared" si="9"/>
        <v>0</v>
      </c>
      <c r="AJ26" s="13">
        <f t="shared" si="10"/>
        <v>0</v>
      </c>
      <c r="AK26" s="13">
        <f t="shared" si="11"/>
        <v>0</v>
      </c>
      <c r="AL26" s="13">
        <f t="shared" si="12"/>
        <v>0</v>
      </c>
      <c r="AM26" s="13">
        <f t="shared" si="13"/>
        <v>0</v>
      </c>
      <c r="AO26" s="14">
        <f t="shared" si="14"/>
        <v>0</v>
      </c>
      <c r="AP26" s="14">
        <f t="shared" si="14"/>
        <v>0</v>
      </c>
      <c r="AQ26" s="14">
        <f t="shared" si="14"/>
        <v>0</v>
      </c>
      <c r="AR26" s="14">
        <f t="shared" si="14"/>
        <v>0</v>
      </c>
      <c r="AS26" s="14">
        <f t="shared" si="14"/>
        <v>0</v>
      </c>
      <c r="AT26" s="14">
        <f t="shared" si="14"/>
        <v>0</v>
      </c>
      <c r="AU26" s="14">
        <f t="shared" si="14"/>
        <v>0</v>
      </c>
      <c r="AV26" s="14">
        <f t="shared" si="14"/>
        <v>0</v>
      </c>
      <c r="AW26" s="14">
        <f t="shared" si="14"/>
        <v>0</v>
      </c>
      <c r="AX26" s="14">
        <f t="shared" si="14"/>
        <v>0</v>
      </c>
      <c r="AY26" s="14">
        <f t="shared" si="14"/>
        <v>0</v>
      </c>
      <c r="AZ26" s="14">
        <f t="shared" si="14"/>
        <v>0</v>
      </c>
    </row>
    <row r="27" spans="1:52">
      <c r="A27" t="str">
        <f>Grades!A27</f>
        <v>Last_18</v>
      </c>
      <c r="B27" t="str">
        <f>Grades!B27</f>
        <v>First_18</v>
      </c>
      <c r="C27" s="12">
        <f>Grades!C27</f>
        <v>26646083</v>
      </c>
      <c r="D27" s="13">
        <f t="shared" si="1"/>
        <v>0</v>
      </c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B27" s="13">
        <f t="shared" si="2"/>
        <v>0</v>
      </c>
      <c r="AC27" s="13">
        <f t="shared" si="3"/>
        <v>0</v>
      </c>
      <c r="AD27" s="13">
        <f t="shared" si="4"/>
        <v>0</v>
      </c>
      <c r="AE27" s="13">
        <f t="shared" si="5"/>
        <v>0</v>
      </c>
      <c r="AF27" s="13">
        <f t="shared" si="6"/>
        <v>0</v>
      </c>
      <c r="AG27" s="13">
        <f t="shared" si="7"/>
        <v>0</v>
      </c>
      <c r="AH27" s="13">
        <f t="shared" si="8"/>
        <v>0</v>
      </c>
      <c r="AI27" s="13">
        <f t="shared" si="9"/>
        <v>0</v>
      </c>
      <c r="AJ27" s="13">
        <f t="shared" si="10"/>
        <v>0</v>
      </c>
      <c r="AK27" s="13">
        <f t="shared" si="11"/>
        <v>0</v>
      </c>
      <c r="AL27" s="13">
        <f t="shared" si="12"/>
        <v>0</v>
      </c>
      <c r="AM27" s="13">
        <f t="shared" si="13"/>
        <v>0</v>
      </c>
      <c r="AO27" s="14">
        <f t="shared" si="14"/>
        <v>0</v>
      </c>
      <c r="AP27" s="14">
        <f t="shared" si="14"/>
        <v>0</v>
      </c>
      <c r="AQ27" s="14">
        <f t="shared" si="14"/>
        <v>0</v>
      </c>
      <c r="AR27" s="14">
        <f t="shared" si="14"/>
        <v>0</v>
      </c>
      <c r="AS27" s="14">
        <f t="shared" si="14"/>
        <v>0</v>
      </c>
      <c r="AT27" s="14">
        <f t="shared" si="14"/>
        <v>0</v>
      </c>
      <c r="AU27" s="14">
        <f t="shared" si="14"/>
        <v>0</v>
      </c>
      <c r="AV27" s="14">
        <f t="shared" si="14"/>
        <v>0</v>
      </c>
      <c r="AW27" s="14">
        <f t="shared" si="14"/>
        <v>0</v>
      </c>
      <c r="AX27" s="14">
        <f t="shared" si="14"/>
        <v>0</v>
      </c>
      <c r="AY27" s="14">
        <f t="shared" si="14"/>
        <v>0</v>
      </c>
      <c r="AZ27" s="14">
        <f t="shared" si="14"/>
        <v>0</v>
      </c>
    </row>
    <row r="28" spans="1:52">
      <c r="A28" t="str">
        <f>Grades!A28</f>
        <v>Last_19</v>
      </c>
      <c r="B28" t="str">
        <f>Grades!B28</f>
        <v>First_19</v>
      </c>
      <c r="C28" s="12">
        <f>Grades!C28</f>
        <v>10749714</v>
      </c>
      <c r="D28" s="13">
        <f t="shared" si="1"/>
        <v>0</v>
      </c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B28" s="13">
        <f t="shared" si="2"/>
        <v>0</v>
      </c>
      <c r="AC28" s="13">
        <f t="shared" si="3"/>
        <v>0</v>
      </c>
      <c r="AD28" s="13">
        <f t="shared" si="4"/>
        <v>0</v>
      </c>
      <c r="AE28" s="13">
        <f t="shared" si="5"/>
        <v>0</v>
      </c>
      <c r="AF28" s="13">
        <f t="shared" si="6"/>
        <v>0</v>
      </c>
      <c r="AG28" s="13">
        <f t="shared" si="7"/>
        <v>0</v>
      </c>
      <c r="AH28" s="13">
        <f t="shared" si="8"/>
        <v>0</v>
      </c>
      <c r="AI28" s="13">
        <f t="shared" si="9"/>
        <v>0</v>
      </c>
      <c r="AJ28" s="13">
        <f t="shared" si="10"/>
        <v>0</v>
      </c>
      <c r="AK28" s="13">
        <f t="shared" si="11"/>
        <v>0</v>
      </c>
      <c r="AL28" s="13">
        <f t="shared" si="12"/>
        <v>0</v>
      </c>
      <c r="AM28" s="13">
        <f t="shared" si="13"/>
        <v>0</v>
      </c>
      <c r="AO28" s="14">
        <f t="shared" si="14"/>
        <v>0</v>
      </c>
      <c r="AP28" s="14">
        <f t="shared" si="14"/>
        <v>0</v>
      </c>
      <c r="AQ28" s="14">
        <f t="shared" si="14"/>
        <v>0</v>
      </c>
      <c r="AR28" s="14">
        <f t="shared" si="14"/>
        <v>0</v>
      </c>
      <c r="AS28" s="14">
        <f t="shared" si="14"/>
        <v>0</v>
      </c>
      <c r="AT28" s="14">
        <f t="shared" si="14"/>
        <v>0</v>
      </c>
      <c r="AU28" s="14">
        <f t="shared" si="14"/>
        <v>0</v>
      </c>
      <c r="AV28" s="14">
        <f t="shared" si="14"/>
        <v>0</v>
      </c>
      <c r="AW28" s="14">
        <f t="shared" si="14"/>
        <v>0</v>
      </c>
      <c r="AX28" s="14">
        <f t="shared" si="14"/>
        <v>0</v>
      </c>
      <c r="AY28" s="14">
        <f t="shared" si="14"/>
        <v>0</v>
      </c>
      <c r="AZ28" s="14">
        <f t="shared" si="14"/>
        <v>0</v>
      </c>
    </row>
    <row r="29" spans="1:52">
      <c r="A29" t="str">
        <f>Grades!A29</f>
        <v>Last_20</v>
      </c>
      <c r="B29" t="str">
        <f>Grades!B29</f>
        <v>First_20</v>
      </c>
      <c r="C29" s="12">
        <f>Grades!C29</f>
        <v>23994145</v>
      </c>
      <c r="D29" s="13">
        <f t="shared" si="1"/>
        <v>0</v>
      </c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3"/>
      <c r="X29" s="13"/>
      <c r="Y29" s="13"/>
      <c r="Z29" s="13"/>
      <c r="AB29" s="13">
        <f t="shared" si="2"/>
        <v>0</v>
      </c>
      <c r="AC29" s="13">
        <f t="shared" si="3"/>
        <v>0</v>
      </c>
      <c r="AD29" s="13">
        <f t="shared" si="4"/>
        <v>0</v>
      </c>
      <c r="AE29" s="13">
        <f t="shared" si="5"/>
        <v>0</v>
      </c>
      <c r="AF29" s="13">
        <f t="shared" si="6"/>
        <v>0</v>
      </c>
      <c r="AG29" s="13">
        <f t="shared" si="7"/>
        <v>0</v>
      </c>
      <c r="AH29" s="13">
        <f t="shared" si="8"/>
        <v>0</v>
      </c>
      <c r="AI29" s="13">
        <f t="shared" si="9"/>
        <v>0</v>
      </c>
      <c r="AJ29" s="13">
        <f t="shared" si="10"/>
        <v>0</v>
      </c>
      <c r="AK29" s="13">
        <f t="shared" si="11"/>
        <v>0</v>
      </c>
      <c r="AL29" s="13">
        <f t="shared" si="12"/>
        <v>0</v>
      </c>
      <c r="AM29" s="13">
        <f t="shared" si="13"/>
        <v>0</v>
      </c>
      <c r="AO29" s="14">
        <f t="shared" si="14"/>
        <v>0</v>
      </c>
      <c r="AP29" s="14">
        <f t="shared" si="14"/>
        <v>0</v>
      </c>
      <c r="AQ29" s="14">
        <f t="shared" si="14"/>
        <v>0</v>
      </c>
      <c r="AR29" s="14">
        <f t="shared" si="14"/>
        <v>0</v>
      </c>
      <c r="AS29" s="14">
        <f t="shared" si="14"/>
        <v>0</v>
      </c>
      <c r="AT29" s="14">
        <f t="shared" si="14"/>
        <v>0</v>
      </c>
      <c r="AU29" s="14">
        <f t="shared" si="14"/>
        <v>0</v>
      </c>
      <c r="AV29" s="14">
        <f t="shared" si="14"/>
        <v>0</v>
      </c>
      <c r="AW29" s="14">
        <f t="shared" si="14"/>
        <v>0</v>
      </c>
      <c r="AX29" s="14">
        <f t="shared" si="14"/>
        <v>0</v>
      </c>
      <c r="AY29" s="14">
        <f t="shared" si="14"/>
        <v>0</v>
      </c>
      <c r="AZ29" s="14">
        <f t="shared" si="14"/>
        <v>0</v>
      </c>
    </row>
    <row r="30" spans="1:52">
      <c r="A30" t="str">
        <f>Grades!A30</f>
        <v>Last_21</v>
      </c>
      <c r="B30" t="str">
        <f>Grades!B30</f>
        <v>First_21</v>
      </c>
      <c r="C30" s="12">
        <f>Grades!C30</f>
        <v>61955455</v>
      </c>
      <c r="D30" s="13">
        <f t="shared" si="1"/>
        <v>0</v>
      </c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B30" s="13">
        <f t="shared" si="2"/>
        <v>0</v>
      </c>
      <c r="AC30" s="13">
        <f t="shared" si="3"/>
        <v>0</v>
      </c>
      <c r="AD30" s="13">
        <f t="shared" si="4"/>
        <v>0</v>
      </c>
      <c r="AE30" s="13">
        <f t="shared" si="5"/>
        <v>0</v>
      </c>
      <c r="AF30" s="13">
        <f t="shared" si="6"/>
        <v>0</v>
      </c>
      <c r="AG30" s="13">
        <f t="shared" si="7"/>
        <v>0</v>
      </c>
      <c r="AH30" s="13">
        <f t="shared" si="8"/>
        <v>0</v>
      </c>
      <c r="AI30" s="13">
        <f t="shared" si="9"/>
        <v>0</v>
      </c>
      <c r="AJ30" s="13">
        <f t="shared" si="10"/>
        <v>0</v>
      </c>
      <c r="AK30" s="13">
        <f t="shared" si="11"/>
        <v>0</v>
      </c>
      <c r="AL30" s="13">
        <f t="shared" si="12"/>
        <v>0</v>
      </c>
      <c r="AM30" s="13">
        <f t="shared" si="13"/>
        <v>0</v>
      </c>
      <c r="AO30" s="14">
        <f t="shared" si="14"/>
        <v>0</v>
      </c>
      <c r="AP30" s="14">
        <f t="shared" si="14"/>
        <v>0</v>
      </c>
      <c r="AQ30" s="14">
        <f t="shared" si="14"/>
        <v>0</v>
      </c>
      <c r="AR30" s="14">
        <f t="shared" si="14"/>
        <v>0</v>
      </c>
      <c r="AS30" s="14">
        <f t="shared" si="14"/>
        <v>0</v>
      </c>
      <c r="AT30" s="14">
        <f t="shared" si="14"/>
        <v>0</v>
      </c>
      <c r="AU30" s="14">
        <f t="shared" si="14"/>
        <v>0</v>
      </c>
      <c r="AV30" s="14">
        <f t="shared" si="14"/>
        <v>0</v>
      </c>
      <c r="AW30" s="14">
        <f t="shared" si="14"/>
        <v>0</v>
      </c>
      <c r="AX30" s="14">
        <f t="shared" si="14"/>
        <v>0</v>
      </c>
      <c r="AY30" s="14">
        <f t="shared" si="14"/>
        <v>0</v>
      </c>
      <c r="AZ30" s="14">
        <f t="shared" si="14"/>
        <v>0</v>
      </c>
    </row>
    <row r="31" spans="1:52">
      <c r="A31" t="str">
        <f>Grades!A31</f>
        <v>Last_22</v>
      </c>
      <c r="B31" t="str">
        <f>Grades!B31</f>
        <v>First_22</v>
      </c>
      <c r="C31" s="12">
        <f>Grades!C31</f>
        <v>21290182</v>
      </c>
      <c r="D31" s="13">
        <f t="shared" si="1"/>
        <v>0</v>
      </c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B31" s="13">
        <f t="shared" si="2"/>
        <v>0</v>
      </c>
      <c r="AC31" s="13">
        <f t="shared" si="3"/>
        <v>0</v>
      </c>
      <c r="AD31" s="13">
        <f t="shared" si="4"/>
        <v>0</v>
      </c>
      <c r="AE31" s="13">
        <f t="shared" si="5"/>
        <v>0</v>
      </c>
      <c r="AF31" s="13">
        <f t="shared" si="6"/>
        <v>0</v>
      </c>
      <c r="AG31" s="13">
        <f t="shared" si="7"/>
        <v>0</v>
      </c>
      <c r="AH31" s="13">
        <f t="shared" si="8"/>
        <v>0</v>
      </c>
      <c r="AI31" s="13">
        <f t="shared" si="9"/>
        <v>0</v>
      </c>
      <c r="AJ31" s="13">
        <f t="shared" si="10"/>
        <v>0</v>
      </c>
      <c r="AK31" s="13">
        <f t="shared" si="11"/>
        <v>0</v>
      </c>
      <c r="AL31" s="13">
        <f t="shared" si="12"/>
        <v>0</v>
      </c>
      <c r="AM31" s="13">
        <f t="shared" si="13"/>
        <v>0</v>
      </c>
      <c r="AO31" s="14">
        <f t="shared" si="14"/>
        <v>0</v>
      </c>
      <c r="AP31" s="14">
        <f t="shared" si="14"/>
        <v>0</v>
      </c>
      <c r="AQ31" s="14">
        <f t="shared" si="14"/>
        <v>0</v>
      </c>
      <c r="AR31" s="14">
        <f t="shared" si="14"/>
        <v>0</v>
      </c>
      <c r="AS31" s="14">
        <f t="shared" si="14"/>
        <v>0</v>
      </c>
      <c r="AT31" s="14">
        <f t="shared" si="14"/>
        <v>0</v>
      </c>
      <c r="AU31" s="14">
        <f t="shared" si="14"/>
        <v>0</v>
      </c>
      <c r="AV31" s="14">
        <f t="shared" si="14"/>
        <v>0</v>
      </c>
      <c r="AW31" s="14">
        <f t="shared" si="14"/>
        <v>0</v>
      </c>
      <c r="AX31" s="14">
        <f t="shared" si="14"/>
        <v>0</v>
      </c>
      <c r="AY31" s="14">
        <f t="shared" si="14"/>
        <v>0</v>
      </c>
      <c r="AZ31" s="14">
        <f t="shared" si="14"/>
        <v>0</v>
      </c>
    </row>
    <row r="32" spans="1:52">
      <c r="A32" t="str">
        <f>Grades!A32</f>
        <v>Last_23</v>
      </c>
      <c r="B32" t="str">
        <f>Grades!B32</f>
        <v>First_23</v>
      </c>
      <c r="C32" s="12">
        <f>Grades!C32</f>
        <v>5565200</v>
      </c>
      <c r="D32" s="13">
        <f t="shared" si="1"/>
        <v>0</v>
      </c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B32" s="13">
        <f t="shared" si="2"/>
        <v>0</v>
      </c>
      <c r="AC32" s="13">
        <f t="shared" si="3"/>
        <v>0</v>
      </c>
      <c r="AD32" s="13">
        <f t="shared" si="4"/>
        <v>0</v>
      </c>
      <c r="AE32" s="13">
        <f t="shared" si="5"/>
        <v>0</v>
      </c>
      <c r="AF32" s="13">
        <f t="shared" si="6"/>
        <v>0</v>
      </c>
      <c r="AG32" s="13">
        <f t="shared" si="7"/>
        <v>0</v>
      </c>
      <c r="AH32" s="13">
        <f t="shared" si="8"/>
        <v>0</v>
      </c>
      <c r="AI32" s="13">
        <f t="shared" si="9"/>
        <v>0</v>
      </c>
      <c r="AJ32" s="13">
        <f t="shared" si="10"/>
        <v>0</v>
      </c>
      <c r="AK32" s="13">
        <f t="shared" si="11"/>
        <v>0</v>
      </c>
      <c r="AL32" s="13">
        <f t="shared" si="12"/>
        <v>0</v>
      </c>
      <c r="AM32" s="13">
        <f t="shared" si="13"/>
        <v>0</v>
      </c>
      <c r="AO32" s="14">
        <f t="shared" si="14"/>
        <v>0</v>
      </c>
      <c r="AP32" s="14">
        <f t="shared" si="14"/>
        <v>0</v>
      </c>
      <c r="AQ32" s="14">
        <f t="shared" si="14"/>
        <v>0</v>
      </c>
      <c r="AR32" s="14">
        <f t="shared" si="14"/>
        <v>0</v>
      </c>
      <c r="AS32" s="14">
        <f t="shared" si="14"/>
        <v>0</v>
      </c>
      <c r="AT32" s="14">
        <f t="shared" si="14"/>
        <v>0</v>
      </c>
      <c r="AU32" s="14">
        <f t="shared" si="14"/>
        <v>0</v>
      </c>
      <c r="AV32" s="14">
        <f t="shared" si="14"/>
        <v>0</v>
      </c>
      <c r="AW32" s="14">
        <f t="shared" si="14"/>
        <v>0</v>
      </c>
      <c r="AX32" s="14">
        <f t="shared" si="14"/>
        <v>0</v>
      </c>
      <c r="AY32" s="14">
        <f t="shared" si="14"/>
        <v>0</v>
      </c>
      <c r="AZ32" s="14">
        <f t="shared" si="14"/>
        <v>0</v>
      </c>
    </row>
    <row r="33" spans="1:52">
      <c r="A33" t="str">
        <f>Grades!A33</f>
        <v>Last_24</v>
      </c>
      <c r="B33" t="str">
        <f>Grades!B33</f>
        <v>First_24</v>
      </c>
      <c r="C33" s="12">
        <f>Grades!C33</f>
        <v>13812850</v>
      </c>
      <c r="D33" s="13">
        <f t="shared" si="1"/>
        <v>0</v>
      </c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  <c r="AB33" s="13">
        <f t="shared" si="2"/>
        <v>0</v>
      </c>
      <c r="AC33" s="13">
        <f t="shared" si="3"/>
        <v>0</v>
      </c>
      <c r="AD33" s="13">
        <f t="shared" si="4"/>
        <v>0</v>
      </c>
      <c r="AE33" s="13">
        <f t="shared" si="5"/>
        <v>0</v>
      </c>
      <c r="AF33" s="13">
        <f t="shared" si="6"/>
        <v>0</v>
      </c>
      <c r="AG33" s="13">
        <f t="shared" si="7"/>
        <v>0</v>
      </c>
      <c r="AH33" s="13">
        <f t="shared" si="8"/>
        <v>0</v>
      </c>
      <c r="AI33" s="13">
        <f t="shared" si="9"/>
        <v>0</v>
      </c>
      <c r="AJ33" s="13">
        <f t="shared" si="10"/>
        <v>0</v>
      </c>
      <c r="AK33" s="13">
        <f t="shared" si="11"/>
        <v>0</v>
      </c>
      <c r="AL33" s="13">
        <f t="shared" si="12"/>
        <v>0</v>
      </c>
      <c r="AM33" s="13">
        <f t="shared" si="13"/>
        <v>0</v>
      </c>
      <c r="AO33" s="14">
        <f t="shared" si="14"/>
        <v>0</v>
      </c>
      <c r="AP33" s="14">
        <f t="shared" si="14"/>
        <v>0</v>
      </c>
      <c r="AQ33" s="14">
        <f t="shared" si="14"/>
        <v>0</v>
      </c>
      <c r="AR33" s="14">
        <f t="shared" si="14"/>
        <v>0</v>
      </c>
      <c r="AS33" s="14">
        <f t="shared" si="14"/>
        <v>0</v>
      </c>
      <c r="AT33" s="14">
        <f t="shared" si="14"/>
        <v>0</v>
      </c>
      <c r="AU33" s="14">
        <f t="shared" si="14"/>
        <v>0</v>
      </c>
      <c r="AV33" s="14">
        <f t="shared" si="14"/>
        <v>0</v>
      </c>
      <c r="AW33" s="14">
        <f t="shared" si="14"/>
        <v>0</v>
      </c>
      <c r="AX33" s="14">
        <f t="shared" si="14"/>
        <v>0</v>
      </c>
      <c r="AY33" s="14">
        <f t="shared" si="14"/>
        <v>0</v>
      </c>
      <c r="AZ33" s="14">
        <f t="shared" si="14"/>
        <v>0</v>
      </c>
    </row>
    <row r="34" spans="1:52">
      <c r="A34" t="str">
        <f>Grades!A34</f>
        <v>Last_25</v>
      </c>
      <c r="B34" t="str">
        <f>Grades!B34</f>
        <v>First_25</v>
      </c>
      <c r="C34" s="12">
        <f>Grades!C34</f>
        <v>39654039</v>
      </c>
      <c r="D34" s="13">
        <f t="shared" si="1"/>
        <v>0</v>
      </c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  <c r="Y34" s="13"/>
      <c r="Z34" s="13"/>
      <c r="AB34" s="13">
        <f t="shared" si="2"/>
        <v>0</v>
      </c>
      <c r="AC34" s="13">
        <f t="shared" si="3"/>
        <v>0</v>
      </c>
      <c r="AD34" s="13">
        <f t="shared" si="4"/>
        <v>0</v>
      </c>
      <c r="AE34" s="13">
        <f t="shared" si="5"/>
        <v>0</v>
      </c>
      <c r="AF34" s="13">
        <f t="shared" si="6"/>
        <v>0</v>
      </c>
      <c r="AG34" s="13">
        <f t="shared" si="7"/>
        <v>0</v>
      </c>
      <c r="AH34" s="13">
        <f t="shared" si="8"/>
        <v>0</v>
      </c>
      <c r="AI34" s="13">
        <f t="shared" si="9"/>
        <v>0</v>
      </c>
      <c r="AJ34" s="13">
        <f t="shared" si="10"/>
        <v>0</v>
      </c>
      <c r="AK34" s="13">
        <f t="shared" si="11"/>
        <v>0</v>
      </c>
      <c r="AL34" s="13">
        <f t="shared" si="12"/>
        <v>0</v>
      </c>
      <c r="AM34" s="13">
        <f t="shared" si="13"/>
        <v>0</v>
      </c>
      <c r="AO34" s="14">
        <f t="shared" si="14"/>
        <v>0</v>
      </c>
      <c r="AP34" s="14">
        <f t="shared" si="14"/>
        <v>0</v>
      </c>
      <c r="AQ34" s="14">
        <f t="shared" si="14"/>
        <v>0</v>
      </c>
      <c r="AR34" s="14">
        <f t="shared" si="14"/>
        <v>0</v>
      </c>
      <c r="AS34" s="14">
        <f t="shared" si="14"/>
        <v>0</v>
      </c>
      <c r="AT34" s="14">
        <f t="shared" si="14"/>
        <v>0</v>
      </c>
      <c r="AU34" s="14">
        <f t="shared" si="14"/>
        <v>0</v>
      </c>
      <c r="AV34" s="14">
        <f t="shared" si="14"/>
        <v>0</v>
      </c>
      <c r="AW34" s="14">
        <f t="shared" si="14"/>
        <v>0</v>
      </c>
      <c r="AX34" s="14">
        <f t="shared" si="14"/>
        <v>0</v>
      </c>
      <c r="AY34" s="14">
        <f t="shared" si="14"/>
        <v>0</v>
      </c>
      <c r="AZ34" s="14">
        <f t="shared" si="14"/>
        <v>0</v>
      </c>
    </row>
    <row r="35" spans="1:52">
      <c r="A35" t="str">
        <f>Grades!A35</f>
        <v>Last_26</v>
      </c>
      <c r="B35" t="str">
        <f>Grades!B35</f>
        <v>First_26</v>
      </c>
      <c r="C35" s="12">
        <f>Grades!C35</f>
        <v>15886570</v>
      </c>
      <c r="D35" s="13">
        <f t="shared" si="1"/>
        <v>0</v>
      </c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  <c r="Y35" s="13"/>
      <c r="Z35" s="13"/>
      <c r="AB35" s="13">
        <f t="shared" si="2"/>
        <v>0</v>
      </c>
      <c r="AC35" s="13">
        <f t="shared" si="3"/>
        <v>0</v>
      </c>
      <c r="AD35" s="13">
        <f t="shared" si="4"/>
        <v>0</v>
      </c>
      <c r="AE35" s="13">
        <f t="shared" si="5"/>
        <v>0</v>
      </c>
      <c r="AF35" s="13">
        <f t="shared" si="6"/>
        <v>0</v>
      </c>
      <c r="AG35" s="13">
        <f t="shared" si="7"/>
        <v>0</v>
      </c>
      <c r="AH35" s="13">
        <f t="shared" si="8"/>
        <v>0</v>
      </c>
      <c r="AI35" s="13">
        <f t="shared" si="9"/>
        <v>0</v>
      </c>
      <c r="AJ35" s="13">
        <f t="shared" si="10"/>
        <v>0</v>
      </c>
      <c r="AK35" s="13">
        <f t="shared" si="11"/>
        <v>0</v>
      </c>
      <c r="AL35" s="13">
        <f t="shared" si="12"/>
        <v>0</v>
      </c>
      <c r="AM35" s="13">
        <f t="shared" si="13"/>
        <v>0</v>
      </c>
      <c r="AO35" s="14">
        <f t="shared" si="14"/>
        <v>0</v>
      </c>
      <c r="AP35" s="14">
        <f t="shared" si="14"/>
        <v>0</v>
      </c>
      <c r="AQ35" s="14">
        <f t="shared" si="14"/>
        <v>0</v>
      </c>
      <c r="AR35" s="14">
        <f t="shared" si="14"/>
        <v>0</v>
      </c>
      <c r="AS35" s="14">
        <f t="shared" si="14"/>
        <v>0</v>
      </c>
      <c r="AT35" s="14">
        <f t="shared" si="14"/>
        <v>0</v>
      </c>
      <c r="AU35" s="14">
        <f t="shared" si="14"/>
        <v>0</v>
      </c>
      <c r="AV35" s="14">
        <f t="shared" si="14"/>
        <v>0</v>
      </c>
      <c r="AW35" s="14">
        <f t="shared" si="14"/>
        <v>0</v>
      </c>
      <c r="AX35" s="14">
        <f t="shared" si="14"/>
        <v>0</v>
      </c>
      <c r="AY35" s="14">
        <f t="shared" si="14"/>
        <v>0</v>
      </c>
      <c r="AZ35" s="14">
        <f t="shared" si="14"/>
        <v>0</v>
      </c>
    </row>
    <row r="36" spans="1:52">
      <c r="A36" t="str">
        <f>Grades!A36</f>
        <v>Last_27</v>
      </c>
      <c r="B36" t="str">
        <f>Grades!B36</f>
        <v>First_27</v>
      </c>
      <c r="C36" s="12">
        <f>Grades!C36</f>
        <v>15162223</v>
      </c>
      <c r="D36" s="13">
        <f t="shared" si="1"/>
        <v>0</v>
      </c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3"/>
      <c r="AB36" s="13">
        <f t="shared" si="2"/>
        <v>0</v>
      </c>
      <c r="AC36" s="13">
        <f t="shared" si="3"/>
        <v>0</v>
      </c>
      <c r="AD36" s="13">
        <f t="shared" si="4"/>
        <v>0</v>
      </c>
      <c r="AE36" s="13">
        <f t="shared" si="5"/>
        <v>0</v>
      </c>
      <c r="AF36" s="13">
        <f t="shared" si="6"/>
        <v>0</v>
      </c>
      <c r="AG36" s="13">
        <f t="shared" si="7"/>
        <v>0</v>
      </c>
      <c r="AH36" s="13">
        <f t="shared" si="8"/>
        <v>0</v>
      </c>
      <c r="AI36" s="13">
        <f t="shared" si="9"/>
        <v>0</v>
      </c>
      <c r="AJ36" s="13">
        <f t="shared" si="10"/>
        <v>0</v>
      </c>
      <c r="AK36" s="13">
        <f t="shared" si="11"/>
        <v>0</v>
      </c>
      <c r="AL36" s="13">
        <f t="shared" si="12"/>
        <v>0</v>
      </c>
      <c r="AM36" s="13">
        <f t="shared" si="13"/>
        <v>0</v>
      </c>
      <c r="AO36" s="14">
        <f t="shared" si="14"/>
        <v>0</v>
      </c>
      <c r="AP36" s="14">
        <f t="shared" si="14"/>
        <v>0</v>
      </c>
      <c r="AQ36" s="14">
        <f t="shared" si="14"/>
        <v>0</v>
      </c>
      <c r="AR36" s="14">
        <f t="shared" si="14"/>
        <v>0</v>
      </c>
      <c r="AS36" s="14">
        <f t="shared" si="14"/>
        <v>0</v>
      </c>
      <c r="AT36" s="14">
        <f t="shared" si="14"/>
        <v>0</v>
      </c>
      <c r="AU36" s="14">
        <f t="shared" si="14"/>
        <v>0</v>
      </c>
      <c r="AV36" s="14">
        <f t="shared" si="14"/>
        <v>0</v>
      </c>
      <c r="AW36" s="14">
        <f t="shared" si="14"/>
        <v>0</v>
      </c>
      <c r="AX36" s="14">
        <f t="shared" si="14"/>
        <v>0</v>
      </c>
      <c r="AY36" s="14">
        <f t="shared" si="14"/>
        <v>0</v>
      </c>
      <c r="AZ36" s="14">
        <f t="shared" si="14"/>
        <v>0</v>
      </c>
    </row>
    <row r="37" spans="1:52">
      <c r="A37" t="str">
        <f>Grades!A37</f>
        <v>Last_28</v>
      </c>
      <c r="B37" t="str">
        <f>Grades!B37</f>
        <v>First_28</v>
      </c>
      <c r="C37" s="12">
        <f>Grades!C37</f>
        <v>6694126</v>
      </c>
      <c r="D37" s="13">
        <f t="shared" si="1"/>
        <v>0</v>
      </c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B37" s="13">
        <f t="shared" si="2"/>
        <v>0</v>
      </c>
      <c r="AC37" s="13">
        <f t="shared" si="3"/>
        <v>0</v>
      </c>
      <c r="AD37" s="13">
        <f t="shared" si="4"/>
        <v>0</v>
      </c>
      <c r="AE37" s="13">
        <f t="shared" si="5"/>
        <v>0</v>
      </c>
      <c r="AF37" s="13">
        <f t="shared" si="6"/>
        <v>0</v>
      </c>
      <c r="AG37" s="13">
        <f t="shared" si="7"/>
        <v>0</v>
      </c>
      <c r="AH37" s="13">
        <f t="shared" si="8"/>
        <v>0</v>
      </c>
      <c r="AI37" s="13">
        <f t="shared" si="9"/>
        <v>0</v>
      </c>
      <c r="AJ37" s="13">
        <f t="shared" si="10"/>
        <v>0</v>
      </c>
      <c r="AK37" s="13">
        <f t="shared" si="11"/>
        <v>0</v>
      </c>
      <c r="AL37" s="13">
        <f t="shared" si="12"/>
        <v>0</v>
      </c>
      <c r="AM37" s="13">
        <f t="shared" si="13"/>
        <v>0</v>
      </c>
      <c r="AO37" s="14">
        <f t="shared" si="14"/>
        <v>0</v>
      </c>
      <c r="AP37" s="14">
        <f t="shared" si="14"/>
        <v>0</v>
      </c>
      <c r="AQ37" s="14">
        <f t="shared" si="14"/>
        <v>0</v>
      </c>
      <c r="AR37" s="14">
        <f t="shared" si="14"/>
        <v>0</v>
      </c>
      <c r="AS37" s="14">
        <f t="shared" si="14"/>
        <v>0</v>
      </c>
      <c r="AT37" s="14">
        <f t="shared" si="14"/>
        <v>0</v>
      </c>
      <c r="AU37" s="14">
        <f>IF(AH$9&gt;0,AH37/AH$9,0)</f>
        <v>0</v>
      </c>
      <c r="AV37" s="14">
        <f t="shared" si="14"/>
        <v>0</v>
      </c>
      <c r="AW37" s="14">
        <f t="shared" si="14"/>
        <v>0</v>
      </c>
      <c r="AX37" s="14">
        <f t="shared" si="14"/>
        <v>0</v>
      </c>
      <c r="AY37" s="14">
        <f t="shared" si="14"/>
        <v>0</v>
      </c>
      <c r="AZ37" s="14">
        <f t="shared" si="14"/>
        <v>0</v>
      </c>
    </row>
    <row r="38" spans="1:52">
      <c r="A38">
        <f>Grades!A38</f>
        <v>0</v>
      </c>
      <c r="B38">
        <f>Grades!B38</f>
        <v>0</v>
      </c>
      <c r="C38" s="12">
        <f>Grades!C38</f>
        <v>0</v>
      </c>
      <c r="D38" s="13">
        <f t="shared" si="1"/>
        <v>0</v>
      </c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3"/>
      <c r="Y38" s="13"/>
      <c r="Z38" s="13"/>
      <c r="AB38" s="13">
        <f t="shared" si="2"/>
        <v>0</v>
      </c>
      <c r="AC38" s="13">
        <f t="shared" si="3"/>
        <v>0</v>
      </c>
      <c r="AD38" s="13">
        <f t="shared" si="4"/>
        <v>0</v>
      </c>
      <c r="AE38" s="13">
        <f t="shared" si="5"/>
        <v>0</v>
      </c>
      <c r="AF38" s="13">
        <f t="shared" si="6"/>
        <v>0</v>
      </c>
      <c r="AG38" s="13">
        <f t="shared" si="7"/>
        <v>0</v>
      </c>
      <c r="AH38" s="13">
        <f t="shared" si="8"/>
        <v>0</v>
      </c>
      <c r="AI38" s="13">
        <f t="shared" si="9"/>
        <v>0</v>
      </c>
      <c r="AJ38" s="13">
        <f t="shared" si="10"/>
        <v>0</v>
      </c>
      <c r="AK38" s="13">
        <f t="shared" si="11"/>
        <v>0</v>
      </c>
      <c r="AL38" s="13">
        <f t="shared" si="12"/>
        <v>0</v>
      </c>
      <c r="AM38" s="13">
        <f t="shared" si="13"/>
        <v>0</v>
      </c>
      <c r="AO38" s="14">
        <f t="shared" si="14"/>
        <v>0</v>
      </c>
      <c r="AP38" s="14">
        <f t="shared" si="14"/>
        <v>0</v>
      </c>
      <c r="AQ38" s="14">
        <f t="shared" si="14"/>
        <v>0</v>
      </c>
      <c r="AR38" s="14">
        <f t="shared" si="14"/>
        <v>0</v>
      </c>
      <c r="AS38" s="14">
        <f t="shared" si="14"/>
        <v>0</v>
      </c>
      <c r="AT38" s="14">
        <f t="shared" si="14"/>
        <v>0</v>
      </c>
      <c r="AU38" s="14">
        <f t="shared" si="14"/>
        <v>0</v>
      </c>
      <c r="AV38" s="14">
        <f t="shared" si="14"/>
        <v>0</v>
      </c>
      <c r="AW38" s="14">
        <f t="shared" si="14"/>
        <v>0</v>
      </c>
      <c r="AX38" s="14">
        <f t="shared" si="14"/>
        <v>0</v>
      </c>
      <c r="AY38" s="14">
        <f t="shared" si="14"/>
        <v>0</v>
      </c>
      <c r="AZ38" s="14">
        <f t="shared" si="14"/>
        <v>0</v>
      </c>
    </row>
    <row r="39" spans="1:52">
      <c r="A39">
        <f>Grades!A39</f>
        <v>0</v>
      </c>
      <c r="B39">
        <f>Grades!B39</f>
        <v>0</v>
      </c>
      <c r="C39" s="12">
        <f>Grades!C39</f>
        <v>0</v>
      </c>
      <c r="D39" s="13">
        <f t="shared" si="1"/>
        <v>0</v>
      </c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Y39" s="13"/>
      <c r="Z39" s="13"/>
      <c r="AB39" s="13">
        <f t="shared" si="2"/>
        <v>0</v>
      </c>
      <c r="AC39" s="13">
        <f t="shared" si="3"/>
        <v>0</v>
      </c>
      <c r="AD39" s="13">
        <f t="shared" si="4"/>
        <v>0</v>
      </c>
      <c r="AE39" s="13">
        <f t="shared" si="5"/>
        <v>0</v>
      </c>
      <c r="AF39" s="13">
        <f t="shared" si="6"/>
        <v>0</v>
      </c>
      <c r="AG39" s="13">
        <f t="shared" si="7"/>
        <v>0</v>
      </c>
      <c r="AH39" s="13">
        <f t="shared" si="8"/>
        <v>0</v>
      </c>
      <c r="AI39" s="13">
        <f t="shared" si="9"/>
        <v>0</v>
      </c>
      <c r="AJ39" s="13">
        <f t="shared" si="10"/>
        <v>0</v>
      </c>
      <c r="AK39" s="13">
        <f t="shared" si="11"/>
        <v>0</v>
      </c>
      <c r="AL39" s="13">
        <f t="shared" si="12"/>
        <v>0</v>
      </c>
      <c r="AM39" s="13">
        <f t="shared" si="13"/>
        <v>0</v>
      </c>
      <c r="AO39" s="14">
        <f t="shared" si="14"/>
        <v>0</v>
      </c>
      <c r="AP39" s="14">
        <f t="shared" si="14"/>
        <v>0</v>
      </c>
      <c r="AQ39" s="14">
        <f t="shared" si="14"/>
        <v>0</v>
      </c>
      <c r="AR39" s="14">
        <f t="shared" si="14"/>
        <v>0</v>
      </c>
      <c r="AS39" s="14">
        <f t="shared" si="14"/>
        <v>0</v>
      </c>
      <c r="AT39" s="14">
        <f t="shared" si="14"/>
        <v>0</v>
      </c>
      <c r="AU39" s="14">
        <f t="shared" si="14"/>
        <v>0</v>
      </c>
      <c r="AV39" s="14">
        <f t="shared" si="14"/>
        <v>0</v>
      </c>
      <c r="AW39" s="14">
        <f t="shared" si="14"/>
        <v>0</v>
      </c>
      <c r="AX39" s="14">
        <f t="shared" si="14"/>
        <v>0</v>
      </c>
      <c r="AY39" s="14">
        <f t="shared" si="14"/>
        <v>0</v>
      </c>
      <c r="AZ39" s="14">
        <f t="shared" si="14"/>
        <v>0</v>
      </c>
    </row>
    <row r="40" spans="1:52">
      <c r="A40">
        <f>Grades!A40</f>
        <v>0</v>
      </c>
      <c r="B40">
        <f>Grades!B40</f>
        <v>0</v>
      </c>
      <c r="C40" s="12">
        <f>Grades!C40</f>
        <v>0</v>
      </c>
      <c r="D40" s="13">
        <f t="shared" si="1"/>
        <v>0</v>
      </c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Y40" s="13"/>
      <c r="Z40" s="13"/>
      <c r="AB40" s="13">
        <f t="shared" si="2"/>
        <v>0</v>
      </c>
      <c r="AC40" s="13">
        <f t="shared" si="3"/>
        <v>0</v>
      </c>
      <c r="AD40" s="13">
        <f t="shared" si="4"/>
        <v>0</v>
      </c>
      <c r="AE40" s="13">
        <f t="shared" si="5"/>
        <v>0</v>
      </c>
      <c r="AF40" s="13">
        <f t="shared" si="6"/>
        <v>0</v>
      </c>
      <c r="AG40" s="13">
        <f t="shared" si="7"/>
        <v>0</v>
      </c>
      <c r="AH40" s="13">
        <f t="shared" si="8"/>
        <v>0</v>
      </c>
      <c r="AI40" s="13">
        <f t="shared" si="9"/>
        <v>0</v>
      </c>
      <c r="AJ40" s="13">
        <f t="shared" si="10"/>
        <v>0</v>
      </c>
      <c r="AK40" s="13">
        <f t="shared" si="11"/>
        <v>0</v>
      </c>
      <c r="AL40" s="13">
        <f t="shared" si="12"/>
        <v>0</v>
      </c>
      <c r="AM40" s="13">
        <f t="shared" si="13"/>
        <v>0</v>
      </c>
      <c r="AO40" s="14">
        <f t="shared" si="14"/>
        <v>0</v>
      </c>
      <c r="AP40" s="14">
        <f t="shared" si="14"/>
        <v>0</v>
      </c>
      <c r="AQ40" s="14">
        <f t="shared" si="14"/>
        <v>0</v>
      </c>
      <c r="AR40" s="14">
        <f t="shared" si="14"/>
        <v>0</v>
      </c>
      <c r="AS40" s="14">
        <f t="shared" si="14"/>
        <v>0</v>
      </c>
      <c r="AT40" s="14">
        <f t="shared" si="14"/>
        <v>0</v>
      </c>
      <c r="AU40" s="14">
        <f t="shared" si="14"/>
        <v>0</v>
      </c>
      <c r="AV40" s="14">
        <f t="shared" si="14"/>
        <v>0</v>
      </c>
      <c r="AW40" s="14">
        <f t="shared" si="14"/>
        <v>0</v>
      </c>
      <c r="AX40" s="14">
        <f t="shared" si="14"/>
        <v>0</v>
      </c>
      <c r="AY40" s="14">
        <f t="shared" si="14"/>
        <v>0</v>
      </c>
      <c r="AZ40" s="14">
        <f t="shared" si="14"/>
        <v>0</v>
      </c>
    </row>
    <row r="41" spans="1:52">
      <c r="A41">
        <f>Grades!A41</f>
        <v>0</v>
      </c>
      <c r="B41">
        <f>Grades!B41</f>
        <v>0</v>
      </c>
      <c r="C41" s="12">
        <f>Grades!C41</f>
        <v>0</v>
      </c>
      <c r="D41" s="13">
        <f t="shared" si="1"/>
        <v>0</v>
      </c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3"/>
      <c r="Y41" s="13"/>
      <c r="Z41" s="13"/>
      <c r="AB41" s="13">
        <f t="shared" si="2"/>
        <v>0</v>
      </c>
      <c r="AC41" s="13">
        <f t="shared" si="3"/>
        <v>0</v>
      </c>
      <c r="AD41" s="13">
        <f t="shared" si="4"/>
        <v>0</v>
      </c>
      <c r="AE41" s="13">
        <f t="shared" si="5"/>
        <v>0</v>
      </c>
      <c r="AF41" s="13">
        <f t="shared" si="6"/>
        <v>0</v>
      </c>
      <c r="AG41" s="13">
        <f t="shared" si="7"/>
        <v>0</v>
      </c>
      <c r="AH41" s="13">
        <f t="shared" si="8"/>
        <v>0</v>
      </c>
      <c r="AI41" s="13">
        <f t="shared" si="9"/>
        <v>0</v>
      </c>
      <c r="AJ41" s="13">
        <f t="shared" si="10"/>
        <v>0</v>
      </c>
      <c r="AK41" s="13">
        <f t="shared" si="11"/>
        <v>0</v>
      </c>
      <c r="AL41" s="13">
        <f t="shared" si="12"/>
        <v>0</v>
      </c>
      <c r="AM41" s="13">
        <f t="shared" si="13"/>
        <v>0</v>
      </c>
      <c r="AO41" s="14">
        <f t="shared" si="14"/>
        <v>0</v>
      </c>
      <c r="AP41" s="14">
        <f t="shared" si="14"/>
        <v>0</v>
      </c>
      <c r="AQ41" s="14">
        <f t="shared" si="14"/>
        <v>0</v>
      </c>
      <c r="AR41" s="14">
        <f t="shared" si="14"/>
        <v>0</v>
      </c>
      <c r="AS41" s="14">
        <f t="shared" si="14"/>
        <v>0</v>
      </c>
      <c r="AT41" s="14">
        <f t="shared" si="14"/>
        <v>0</v>
      </c>
      <c r="AU41" s="14">
        <f t="shared" si="14"/>
        <v>0</v>
      </c>
      <c r="AV41" s="14">
        <f t="shared" si="14"/>
        <v>0</v>
      </c>
      <c r="AW41" s="14">
        <f t="shared" si="14"/>
        <v>0</v>
      </c>
      <c r="AX41" s="14">
        <f t="shared" si="14"/>
        <v>0</v>
      </c>
      <c r="AY41" s="14">
        <f t="shared" si="14"/>
        <v>0</v>
      </c>
      <c r="AZ41" s="14">
        <f t="shared" si="14"/>
        <v>0</v>
      </c>
    </row>
    <row r="42" spans="1:52">
      <c r="A42">
        <f>Grades!A42</f>
        <v>0</v>
      </c>
      <c r="B42">
        <f>Grades!B42</f>
        <v>0</v>
      </c>
      <c r="C42" s="12">
        <f>Grades!C42</f>
        <v>0</v>
      </c>
      <c r="D42" s="13">
        <f t="shared" si="1"/>
        <v>0</v>
      </c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13"/>
      <c r="Y42" s="13"/>
      <c r="Z42" s="13"/>
      <c r="AB42" s="13">
        <f t="shared" si="2"/>
        <v>0</v>
      </c>
      <c r="AC42" s="13">
        <f t="shared" si="3"/>
        <v>0</v>
      </c>
      <c r="AD42" s="13">
        <f t="shared" si="4"/>
        <v>0</v>
      </c>
      <c r="AE42" s="13">
        <f t="shared" si="5"/>
        <v>0</v>
      </c>
      <c r="AF42" s="13">
        <f t="shared" si="6"/>
        <v>0</v>
      </c>
      <c r="AG42" s="13">
        <f t="shared" si="7"/>
        <v>0</v>
      </c>
      <c r="AH42" s="13">
        <f t="shared" si="8"/>
        <v>0</v>
      </c>
      <c r="AI42" s="13">
        <f t="shared" si="9"/>
        <v>0</v>
      </c>
      <c r="AJ42" s="13">
        <f t="shared" si="10"/>
        <v>0</v>
      </c>
      <c r="AK42" s="13">
        <f t="shared" si="11"/>
        <v>0</v>
      </c>
      <c r="AL42" s="13">
        <f t="shared" si="12"/>
        <v>0</v>
      </c>
      <c r="AM42" s="13">
        <f t="shared" si="13"/>
        <v>0</v>
      </c>
      <c r="AO42" s="14">
        <f t="shared" si="14"/>
        <v>0</v>
      </c>
      <c r="AP42" s="14">
        <f t="shared" si="14"/>
        <v>0</v>
      </c>
      <c r="AQ42" s="14">
        <f t="shared" si="14"/>
        <v>0</v>
      </c>
      <c r="AR42" s="14">
        <f t="shared" si="14"/>
        <v>0</v>
      </c>
      <c r="AS42" s="14">
        <f t="shared" si="14"/>
        <v>0</v>
      </c>
      <c r="AT42" s="14">
        <f t="shared" si="14"/>
        <v>0</v>
      </c>
      <c r="AU42" s="14">
        <f t="shared" si="14"/>
        <v>0</v>
      </c>
      <c r="AV42" s="14">
        <f t="shared" si="14"/>
        <v>0</v>
      </c>
      <c r="AW42" s="14">
        <f t="shared" si="14"/>
        <v>0</v>
      </c>
      <c r="AX42" s="14">
        <f t="shared" si="14"/>
        <v>0</v>
      </c>
      <c r="AY42" s="14">
        <f t="shared" si="14"/>
        <v>0</v>
      </c>
      <c r="AZ42" s="14">
        <f t="shared" si="14"/>
        <v>0</v>
      </c>
    </row>
    <row r="43" spans="1:52">
      <c r="A43">
        <f>Grades!A43</f>
        <v>0</v>
      </c>
      <c r="B43">
        <f>Grades!B43</f>
        <v>0</v>
      </c>
      <c r="C43" s="12">
        <f>Grades!C43</f>
        <v>0</v>
      </c>
      <c r="D43" s="13">
        <f t="shared" si="1"/>
        <v>0</v>
      </c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13"/>
      <c r="Y43" s="13"/>
      <c r="Z43" s="13"/>
      <c r="AB43" s="13">
        <f t="shared" si="2"/>
        <v>0</v>
      </c>
      <c r="AC43" s="13">
        <f t="shared" si="3"/>
        <v>0</v>
      </c>
      <c r="AD43" s="13">
        <f t="shared" si="4"/>
        <v>0</v>
      </c>
      <c r="AE43" s="13">
        <f t="shared" si="5"/>
        <v>0</v>
      </c>
      <c r="AF43" s="13">
        <f t="shared" si="6"/>
        <v>0</v>
      </c>
      <c r="AG43" s="13">
        <f t="shared" si="7"/>
        <v>0</v>
      </c>
      <c r="AH43" s="13">
        <f t="shared" si="8"/>
        <v>0</v>
      </c>
      <c r="AI43" s="13">
        <f t="shared" si="9"/>
        <v>0</v>
      </c>
      <c r="AJ43" s="13">
        <f t="shared" si="10"/>
        <v>0</v>
      </c>
      <c r="AK43" s="13">
        <f t="shared" si="11"/>
        <v>0</v>
      </c>
      <c r="AL43" s="13">
        <f t="shared" si="12"/>
        <v>0</v>
      </c>
      <c r="AM43" s="13">
        <f t="shared" si="13"/>
        <v>0</v>
      </c>
      <c r="AO43" s="14">
        <f t="shared" si="14"/>
        <v>0</v>
      </c>
      <c r="AP43" s="14">
        <f t="shared" si="14"/>
        <v>0</v>
      </c>
      <c r="AQ43" s="14">
        <f t="shared" si="14"/>
        <v>0</v>
      </c>
      <c r="AR43" s="14">
        <f t="shared" si="14"/>
        <v>0</v>
      </c>
      <c r="AS43" s="14">
        <f t="shared" si="14"/>
        <v>0</v>
      </c>
      <c r="AT43" s="14">
        <f t="shared" si="14"/>
        <v>0</v>
      </c>
      <c r="AU43" s="14">
        <f t="shared" si="14"/>
        <v>0</v>
      </c>
      <c r="AV43" s="14">
        <f t="shared" si="14"/>
        <v>0</v>
      </c>
      <c r="AW43" s="14">
        <f t="shared" si="14"/>
        <v>0</v>
      </c>
      <c r="AX43" s="14">
        <f t="shared" si="14"/>
        <v>0</v>
      </c>
      <c r="AY43" s="14">
        <f t="shared" si="14"/>
        <v>0</v>
      </c>
      <c r="AZ43" s="14">
        <f t="shared" si="14"/>
        <v>0</v>
      </c>
    </row>
    <row r="44" spans="1:52">
      <c r="A44">
        <f>Grades!A44</f>
        <v>0</v>
      </c>
      <c r="B44">
        <f>Grades!B44</f>
        <v>0</v>
      </c>
      <c r="C44" s="12">
        <f>Grades!C44</f>
        <v>0</v>
      </c>
      <c r="D44" s="13">
        <f t="shared" si="1"/>
        <v>0</v>
      </c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3"/>
      <c r="X44" s="13"/>
      <c r="Y44" s="13"/>
      <c r="Z44" s="13"/>
      <c r="AB44" s="13">
        <f t="shared" si="2"/>
        <v>0</v>
      </c>
      <c r="AC44" s="13">
        <f t="shared" si="3"/>
        <v>0</v>
      </c>
      <c r="AD44" s="13">
        <f t="shared" si="4"/>
        <v>0</v>
      </c>
      <c r="AE44" s="13">
        <f t="shared" si="5"/>
        <v>0</v>
      </c>
      <c r="AF44" s="13">
        <f t="shared" si="6"/>
        <v>0</v>
      </c>
      <c r="AG44" s="13">
        <f t="shared" si="7"/>
        <v>0</v>
      </c>
      <c r="AH44" s="13">
        <f t="shared" si="8"/>
        <v>0</v>
      </c>
      <c r="AI44" s="13">
        <f t="shared" si="9"/>
        <v>0</v>
      </c>
      <c r="AJ44" s="13">
        <f t="shared" si="10"/>
        <v>0</v>
      </c>
      <c r="AK44" s="13">
        <f t="shared" si="11"/>
        <v>0</v>
      </c>
      <c r="AL44" s="13">
        <f t="shared" si="12"/>
        <v>0</v>
      </c>
      <c r="AM44" s="13">
        <f t="shared" si="13"/>
        <v>0</v>
      </c>
      <c r="AO44" s="14">
        <f t="shared" si="14"/>
        <v>0</v>
      </c>
      <c r="AP44" s="14">
        <f t="shared" si="14"/>
        <v>0</v>
      </c>
      <c r="AQ44" s="14">
        <f t="shared" si="14"/>
        <v>0</v>
      </c>
      <c r="AR44" s="14">
        <f t="shared" si="14"/>
        <v>0</v>
      </c>
      <c r="AS44" s="14">
        <f t="shared" si="14"/>
        <v>0</v>
      </c>
      <c r="AT44" s="14">
        <f t="shared" si="14"/>
        <v>0</v>
      </c>
      <c r="AU44" s="14">
        <f t="shared" si="14"/>
        <v>0</v>
      </c>
      <c r="AV44" s="14">
        <f t="shared" si="14"/>
        <v>0</v>
      </c>
      <c r="AW44" s="14">
        <f t="shared" si="14"/>
        <v>0</v>
      </c>
      <c r="AX44" s="14">
        <f t="shared" si="14"/>
        <v>0</v>
      </c>
      <c r="AY44" s="14">
        <f t="shared" si="14"/>
        <v>0</v>
      </c>
      <c r="AZ44" s="14">
        <f t="shared" si="14"/>
        <v>0</v>
      </c>
    </row>
    <row r="45" spans="1:52">
      <c r="A45">
        <f>Grades!A45</f>
        <v>0</v>
      </c>
      <c r="B45">
        <f>Grades!B45</f>
        <v>0</v>
      </c>
      <c r="C45" s="12">
        <f>Grades!C45</f>
        <v>0</v>
      </c>
      <c r="D45" s="13">
        <f t="shared" si="1"/>
        <v>0</v>
      </c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3"/>
      <c r="X45" s="13"/>
      <c r="Y45" s="13"/>
      <c r="Z45" s="13"/>
      <c r="AB45" s="13">
        <f t="shared" si="2"/>
        <v>0</v>
      </c>
      <c r="AC45" s="13">
        <f t="shared" si="3"/>
        <v>0</v>
      </c>
      <c r="AD45" s="13">
        <f t="shared" si="4"/>
        <v>0</v>
      </c>
      <c r="AE45" s="13">
        <f t="shared" si="5"/>
        <v>0</v>
      </c>
      <c r="AF45" s="13">
        <f t="shared" si="6"/>
        <v>0</v>
      </c>
      <c r="AG45" s="13">
        <f t="shared" si="7"/>
        <v>0</v>
      </c>
      <c r="AH45" s="13">
        <f t="shared" si="8"/>
        <v>0</v>
      </c>
      <c r="AI45" s="13">
        <f t="shared" si="9"/>
        <v>0</v>
      </c>
      <c r="AJ45" s="13">
        <f t="shared" si="10"/>
        <v>0</v>
      </c>
      <c r="AK45" s="13">
        <f t="shared" si="11"/>
        <v>0</v>
      </c>
      <c r="AL45" s="13">
        <f t="shared" si="12"/>
        <v>0</v>
      </c>
      <c r="AM45" s="13">
        <f t="shared" si="13"/>
        <v>0</v>
      </c>
      <c r="AO45" s="14">
        <f t="shared" si="14"/>
        <v>0</v>
      </c>
      <c r="AP45" s="14">
        <f t="shared" si="14"/>
        <v>0</v>
      </c>
      <c r="AQ45" s="14">
        <f t="shared" si="14"/>
        <v>0</v>
      </c>
      <c r="AR45" s="14">
        <f t="shared" si="14"/>
        <v>0</v>
      </c>
      <c r="AS45" s="14">
        <f t="shared" si="14"/>
        <v>0</v>
      </c>
      <c r="AT45" s="14">
        <f t="shared" si="14"/>
        <v>0</v>
      </c>
      <c r="AU45" s="14">
        <f t="shared" si="14"/>
        <v>0</v>
      </c>
      <c r="AV45" s="14">
        <f t="shared" si="14"/>
        <v>0</v>
      </c>
      <c r="AW45" s="14">
        <f t="shared" si="14"/>
        <v>0</v>
      </c>
      <c r="AX45" s="14">
        <f t="shared" si="14"/>
        <v>0</v>
      </c>
      <c r="AY45" s="14">
        <f t="shared" si="14"/>
        <v>0</v>
      </c>
      <c r="AZ45" s="14">
        <f t="shared" si="14"/>
        <v>0</v>
      </c>
    </row>
    <row r="46" spans="1:52">
      <c r="A46">
        <f>Grades!A46</f>
        <v>0</v>
      </c>
      <c r="B46">
        <f>Grades!B46</f>
        <v>0</v>
      </c>
      <c r="C46" s="12">
        <f>Grades!C46</f>
        <v>0</v>
      </c>
      <c r="D46" s="13">
        <f t="shared" si="1"/>
        <v>0</v>
      </c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3"/>
      <c r="X46" s="13"/>
      <c r="Y46" s="13"/>
      <c r="Z46" s="13"/>
      <c r="AB46" s="13">
        <f t="shared" si="2"/>
        <v>0</v>
      </c>
      <c r="AC46" s="13">
        <f t="shared" si="3"/>
        <v>0</v>
      </c>
      <c r="AD46" s="13">
        <f t="shared" si="4"/>
        <v>0</v>
      </c>
      <c r="AE46" s="13">
        <f t="shared" si="5"/>
        <v>0</v>
      </c>
      <c r="AF46" s="13">
        <f t="shared" si="6"/>
        <v>0</v>
      </c>
      <c r="AG46" s="13">
        <f t="shared" si="7"/>
        <v>0</v>
      </c>
      <c r="AH46" s="13">
        <f t="shared" si="8"/>
        <v>0</v>
      </c>
      <c r="AI46" s="13">
        <f t="shared" si="9"/>
        <v>0</v>
      </c>
      <c r="AJ46" s="13">
        <f t="shared" si="10"/>
        <v>0</v>
      </c>
      <c r="AK46" s="13">
        <f t="shared" si="11"/>
        <v>0</v>
      </c>
      <c r="AL46" s="13">
        <f t="shared" si="12"/>
        <v>0</v>
      </c>
      <c r="AM46" s="13">
        <f t="shared" si="13"/>
        <v>0</v>
      </c>
      <c r="AO46" s="14">
        <f t="shared" si="14"/>
        <v>0</v>
      </c>
      <c r="AP46" s="14">
        <f t="shared" ref="AP46:AZ69" si="16">IF(AC$9&gt;0,AC46/AC$9,0)</f>
        <v>0</v>
      </c>
      <c r="AQ46" s="14">
        <f t="shared" si="16"/>
        <v>0</v>
      </c>
      <c r="AR46" s="14">
        <f t="shared" si="16"/>
        <v>0</v>
      </c>
      <c r="AS46" s="14">
        <f t="shared" si="16"/>
        <v>0</v>
      </c>
      <c r="AT46" s="14">
        <f t="shared" si="16"/>
        <v>0</v>
      </c>
      <c r="AU46" s="14">
        <f t="shared" si="16"/>
        <v>0</v>
      </c>
      <c r="AV46" s="14">
        <f t="shared" si="16"/>
        <v>0</v>
      </c>
      <c r="AW46" s="14">
        <f t="shared" si="16"/>
        <v>0</v>
      </c>
      <c r="AX46" s="14">
        <f t="shared" si="16"/>
        <v>0</v>
      </c>
      <c r="AY46" s="14">
        <f t="shared" si="16"/>
        <v>0</v>
      </c>
      <c r="AZ46" s="14">
        <f t="shared" si="16"/>
        <v>0</v>
      </c>
    </row>
    <row r="47" spans="1:52">
      <c r="A47">
        <f>Grades!A47</f>
        <v>0</v>
      </c>
      <c r="B47">
        <f>Grades!B47</f>
        <v>0</v>
      </c>
      <c r="C47" s="12">
        <f>Grades!C47</f>
        <v>0</v>
      </c>
      <c r="D47" s="13">
        <f t="shared" si="1"/>
        <v>0</v>
      </c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13"/>
      <c r="V47" s="13"/>
      <c r="W47" s="13"/>
      <c r="X47" s="13"/>
      <c r="Y47" s="13"/>
      <c r="Z47" s="13"/>
      <c r="AB47" s="13">
        <f t="shared" si="2"/>
        <v>0</v>
      </c>
      <c r="AC47" s="13">
        <f t="shared" si="3"/>
        <v>0</v>
      </c>
      <c r="AD47" s="13">
        <f t="shared" si="4"/>
        <v>0</v>
      </c>
      <c r="AE47" s="13">
        <f t="shared" si="5"/>
        <v>0</v>
      </c>
      <c r="AF47" s="13">
        <f t="shared" si="6"/>
        <v>0</v>
      </c>
      <c r="AG47" s="13">
        <f t="shared" si="7"/>
        <v>0</v>
      </c>
      <c r="AH47" s="13">
        <f t="shared" si="8"/>
        <v>0</v>
      </c>
      <c r="AI47" s="13">
        <f t="shared" si="9"/>
        <v>0</v>
      </c>
      <c r="AJ47" s="13">
        <f t="shared" si="10"/>
        <v>0</v>
      </c>
      <c r="AK47" s="13">
        <f t="shared" si="11"/>
        <v>0</v>
      </c>
      <c r="AL47" s="13">
        <f t="shared" si="12"/>
        <v>0</v>
      </c>
      <c r="AM47" s="13">
        <f t="shared" si="13"/>
        <v>0</v>
      </c>
      <c r="AO47" s="14">
        <f t="shared" ref="AO47:AT100" si="17">IF(AB$9&gt;0,AB47/AB$9,0)</f>
        <v>0</v>
      </c>
      <c r="AP47" s="14">
        <f t="shared" si="16"/>
        <v>0</v>
      </c>
      <c r="AQ47" s="14">
        <f t="shared" si="16"/>
        <v>0</v>
      </c>
      <c r="AR47" s="14">
        <f t="shared" si="16"/>
        <v>0</v>
      </c>
      <c r="AS47" s="14">
        <f t="shared" si="16"/>
        <v>0</v>
      </c>
      <c r="AT47" s="14">
        <f t="shared" si="16"/>
        <v>0</v>
      </c>
      <c r="AU47" s="14">
        <f t="shared" si="16"/>
        <v>0</v>
      </c>
      <c r="AV47" s="14">
        <f t="shared" si="16"/>
        <v>0</v>
      </c>
      <c r="AW47" s="14">
        <f t="shared" si="16"/>
        <v>0</v>
      </c>
      <c r="AX47" s="14">
        <f t="shared" si="16"/>
        <v>0</v>
      </c>
      <c r="AY47" s="14">
        <f t="shared" si="16"/>
        <v>0</v>
      </c>
      <c r="AZ47" s="14">
        <f t="shared" si="16"/>
        <v>0</v>
      </c>
    </row>
    <row r="48" spans="1:52">
      <c r="A48">
        <f>Grades!A48</f>
        <v>0</v>
      </c>
      <c r="B48">
        <f>Grades!B48</f>
        <v>0</v>
      </c>
      <c r="C48" s="12">
        <f>Grades!C48</f>
        <v>0</v>
      </c>
      <c r="D48" s="13">
        <f t="shared" si="1"/>
        <v>0</v>
      </c>
      <c r="E48" s="13"/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3"/>
      <c r="X48" s="13"/>
      <c r="Y48" s="13"/>
      <c r="Z48" s="13"/>
      <c r="AB48" s="13">
        <f t="shared" si="2"/>
        <v>0</v>
      </c>
      <c r="AC48" s="13">
        <f t="shared" si="3"/>
        <v>0</v>
      </c>
      <c r="AD48" s="13">
        <f t="shared" si="4"/>
        <v>0</v>
      </c>
      <c r="AE48" s="13">
        <f t="shared" si="5"/>
        <v>0</v>
      </c>
      <c r="AF48" s="13">
        <f t="shared" si="6"/>
        <v>0</v>
      </c>
      <c r="AG48" s="13">
        <f t="shared" si="7"/>
        <v>0</v>
      </c>
      <c r="AH48" s="13">
        <f t="shared" si="8"/>
        <v>0</v>
      </c>
      <c r="AI48" s="13">
        <f t="shared" si="9"/>
        <v>0</v>
      </c>
      <c r="AJ48" s="13">
        <f t="shared" si="10"/>
        <v>0</v>
      </c>
      <c r="AK48" s="13">
        <f t="shared" si="11"/>
        <v>0</v>
      </c>
      <c r="AL48" s="13">
        <f t="shared" si="12"/>
        <v>0</v>
      </c>
      <c r="AM48" s="13">
        <f t="shared" si="13"/>
        <v>0</v>
      </c>
      <c r="AO48" s="14">
        <f t="shared" si="17"/>
        <v>0</v>
      </c>
      <c r="AP48" s="14">
        <f t="shared" si="16"/>
        <v>0</v>
      </c>
      <c r="AQ48" s="14">
        <f t="shared" si="16"/>
        <v>0</v>
      </c>
      <c r="AR48" s="14">
        <f t="shared" si="16"/>
        <v>0</v>
      </c>
      <c r="AS48" s="14">
        <f t="shared" si="16"/>
        <v>0</v>
      </c>
      <c r="AT48" s="14">
        <f t="shared" si="16"/>
        <v>0</v>
      </c>
      <c r="AU48" s="14">
        <f t="shared" si="16"/>
        <v>0</v>
      </c>
      <c r="AV48" s="14">
        <f t="shared" si="16"/>
        <v>0</v>
      </c>
      <c r="AW48" s="14">
        <f t="shared" si="16"/>
        <v>0</v>
      </c>
      <c r="AX48" s="14">
        <f t="shared" si="16"/>
        <v>0</v>
      </c>
      <c r="AY48" s="14">
        <f t="shared" si="16"/>
        <v>0</v>
      </c>
      <c r="AZ48" s="14">
        <f t="shared" si="16"/>
        <v>0</v>
      </c>
    </row>
    <row r="49" spans="1:52">
      <c r="A49">
        <f>Grades!A49</f>
        <v>0</v>
      </c>
      <c r="B49">
        <f>Grades!B49</f>
        <v>0</v>
      </c>
      <c r="C49" s="12">
        <f>Grades!C49</f>
        <v>0</v>
      </c>
      <c r="D49" s="13">
        <f t="shared" si="1"/>
        <v>0</v>
      </c>
      <c r="E49" s="13"/>
      <c r="F49" s="13"/>
      <c r="G49" s="13"/>
      <c r="H49" s="13"/>
      <c r="I49" s="13"/>
      <c r="J49" s="13"/>
      <c r="K49" s="13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3"/>
      <c r="X49" s="13"/>
      <c r="Y49" s="13"/>
      <c r="Z49" s="13"/>
      <c r="AB49" s="13">
        <f t="shared" si="2"/>
        <v>0</v>
      </c>
      <c r="AC49" s="13">
        <f t="shared" si="3"/>
        <v>0</v>
      </c>
      <c r="AD49" s="13">
        <f t="shared" si="4"/>
        <v>0</v>
      </c>
      <c r="AE49" s="13">
        <f t="shared" si="5"/>
        <v>0</v>
      </c>
      <c r="AF49" s="13">
        <f t="shared" si="6"/>
        <v>0</v>
      </c>
      <c r="AG49" s="13">
        <f t="shared" si="7"/>
        <v>0</v>
      </c>
      <c r="AH49" s="13">
        <f t="shared" si="8"/>
        <v>0</v>
      </c>
      <c r="AI49" s="13">
        <f t="shared" si="9"/>
        <v>0</v>
      </c>
      <c r="AJ49" s="13">
        <f t="shared" si="10"/>
        <v>0</v>
      </c>
      <c r="AK49" s="13">
        <f t="shared" si="11"/>
        <v>0</v>
      </c>
      <c r="AL49" s="13">
        <f t="shared" si="12"/>
        <v>0</v>
      </c>
      <c r="AM49" s="13">
        <f t="shared" si="13"/>
        <v>0</v>
      </c>
      <c r="AO49" s="14">
        <f t="shared" si="17"/>
        <v>0</v>
      </c>
      <c r="AP49" s="14">
        <f t="shared" si="16"/>
        <v>0</v>
      </c>
      <c r="AQ49" s="14">
        <f t="shared" si="16"/>
        <v>0</v>
      </c>
      <c r="AR49" s="14">
        <f t="shared" si="16"/>
        <v>0</v>
      </c>
      <c r="AS49" s="14">
        <f t="shared" si="16"/>
        <v>0</v>
      </c>
      <c r="AT49" s="14">
        <f t="shared" si="16"/>
        <v>0</v>
      </c>
      <c r="AU49" s="14">
        <f t="shared" si="16"/>
        <v>0</v>
      </c>
      <c r="AV49" s="14">
        <f t="shared" si="16"/>
        <v>0</v>
      </c>
      <c r="AW49" s="14">
        <f t="shared" si="16"/>
        <v>0</v>
      </c>
      <c r="AX49" s="14">
        <f t="shared" si="16"/>
        <v>0</v>
      </c>
      <c r="AY49" s="14">
        <f t="shared" si="16"/>
        <v>0</v>
      </c>
      <c r="AZ49" s="14">
        <f t="shared" si="16"/>
        <v>0</v>
      </c>
    </row>
    <row r="50" spans="1:52">
      <c r="A50">
        <f>Grades!A50</f>
        <v>0</v>
      </c>
      <c r="B50">
        <f>Grades!B50</f>
        <v>0</v>
      </c>
      <c r="C50" s="12">
        <f>Grades!C50</f>
        <v>0</v>
      </c>
      <c r="D50" s="13">
        <f t="shared" si="1"/>
        <v>0</v>
      </c>
      <c r="E50" s="13"/>
      <c r="F50" s="13"/>
      <c r="G50" s="13"/>
      <c r="H50" s="13"/>
      <c r="I50" s="13"/>
      <c r="J50" s="13"/>
      <c r="K50" s="13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3"/>
      <c r="X50" s="13"/>
      <c r="Y50" s="13"/>
      <c r="Z50" s="13"/>
      <c r="AB50" s="13">
        <f t="shared" si="2"/>
        <v>0</v>
      </c>
      <c r="AC50" s="13">
        <f t="shared" si="3"/>
        <v>0</v>
      </c>
      <c r="AD50" s="13">
        <f t="shared" si="4"/>
        <v>0</v>
      </c>
      <c r="AE50" s="13">
        <f t="shared" si="5"/>
        <v>0</v>
      </c>
      <c r="AF50" s="13">
        <f t="shared" si="6"/>
        <v>0</v>
      </c>
      <c r="AG50" s="13">
        <f t="shared" si="7"/>
        <v>0</v>
      </c>
      <c r="AH50" s="13">
        <f t="shared" si="8"/>
        <v>0</v>
      </c>
      <c r="AI50" s="13">
        <f t="shared" si="9"/>
        <v>0</v>
      </c>
      <c r="AJ50" s="13">
        <f t="shared" si="10"/>
        <v>0</v>
      </c>
      <c r="AK50" s="13">
        <f t="shared" si="11"/>
        <v>0</v>
      </c>
      <c r="AL50" s="13">
        <f t="shared" si="12"/>
        <v>0</v>
      </c>
      <c r="AM50" s="13">
        <f t="shared" si="13"/>
        <v>0</v>
      </c>
      <c r="AO50" s="14">
        <f t="shared" si="17"/>
        <v>0</v>
      </c>
      <c r="AP50" s="14">
        <f t="shared" si="16"/>
        <v>0</v>
      </c>
      <c r="AQ50" s="14">
        <f t="shared" si="16"/>
        <v>0</v>
      </c>
      <c r="AR50" s="14">
        <f t="shared" si="16"/>
        <v>0</v>
      </c>
      <c r="AS50" s="14">
        <f t="shared" si="16"/>
        <v>0</v>
      </c>
      <c r="AT50" s="14">
        <f t="shared" si="16"/>
        <v>0</v>
      </c>
      <c r="AU50" s="14">
        <f t="shared" si="16"/>
        <v>0</v>
      </c>
      <c r="AV50" s="14">
        <f t="shared" si="16"/>
        <v>0</v>
      </c>
      <c r="AW50" s="14">
        <f t="shared" si="16"/>
        <v>0</v>
      </c>
      <c r="AX50" s="14">
        <f t="shared" si="16"/>
        <v>0</v>
      </c>
      <c r="AY50" s="14">
        <f t="shared" si="16"/>
        <v>0</v>
      </c>
      <c r="AZ50" s="14">
        <f t="shared" si="16"/>
        <v>0</v>
      </c>
    </row>
    <row r="51" spans="1:52">
      <c r="A51">
        <f>Grades!A51</f>
        <v>0</v>
      </c>
      <c r="B51">
        <f>Grades!B51</f>
        <v>0</v>
      </c>
      <c r="C51" s="12">
        <f>Grades!C51</f>
        <v>0</v>
      </c>
      <c r="D51" s="13">
        <f t="shared" si="1"/>
        <v>0</v>
      </c>
      <c r="E51" s="13"/>
      <c r="F51" s="13"/>
      <c r="G51" s="13"/>
      <c r="H51" s="13"/>
      <c r="I51" s="13"/>
      <c r="J51" s="13"/>
      <c r="K51" s="13"/>
      <c r="L51" s="13"/>
      <c r="M51" s="13"/>
      <c r="N51" s="13"/>
      <c r="O51" s="13"/>
      <c r="P51" s="13"/>
      <c r="Q51" s="13"/>
      <c r="R51" s="13"/>
      <c r="S51" s="13"/>
      <c r="T51" s="13"/>
      <c r="U51" s="13"/>
      <c r="V51" s="13"/>
      <c r="W51" s="13"/>
      <c r="X51" s="13"/>
      <c r="Y51" s="13"/>
      <c r="Z51" s="13"/>
      <c r="AB51" s="13">
        <f t="shared" si="2"/>
        <v>0</v>
      </c>
      <c r="AC51" s="13">
        <f t="shared" si="3"/>
        <v>0</v>
      </c>
      <c r="AD51" s="13">
        <f t="shared" si="4"/>
        <v>0</v>
      </c>
      <c r="AE51" s="13">
        <f t="shared" si="5"/>
        <v>0</v>
      </c>
      <c r="AF51" s="13">
        <f t="shared" si="6"/>
        <v>0</v>
      </c>
      <c r="AG51" s="13">
        <f t="shared" si="7"/>
        <v>0</v>
      </c>
      <c r="AH51" s="13">
        <f t="shared" si="8"/>
        <v>0</v>
      </c>
      <c r="AI51" s="13">
        <f t="shared" si="9"/>
        <v>0</v>
      </c>
      <c r="AJ51" s="13">
        <f t="shared" si="10"/>
        <v>0</v>
      </c>
      <c r="AK51" s="13">
        <f t="shared" si="11"/>
        <v>0</v>
      </c>
      <c r="AL51" s="13">
        <f t="shared" si="12"/>
        <v>0</v>
      </c>
      <c r="AM51" s="13">
        <f t="shared" si="13"/>
        <v>0</v>
      </c>
      <c r="AO51" s="14">
        <f t="shared" si="17"/>
        <v>0</v>
      </c>
      <c r="AP51" s="14">
        <f t="shared" si="16"/>
        <v>0</v>
      </c>
      <c r="AQ51" s="14">
        <f t="shared" si="16"/>
        <v>0</v>
      </c>
      <c r="AR51" s="14">
        <f t="shared" si="16"/>
        <v>0</v>
      </c>
      <c r="AS51" s="14">
        <f t="shared" si="16"/>
        <v>0</v>
      </c>
      <c r="AT51" s="14">
        <f t="shared" si="16"/>
        <v>0</v>
      </c>
      <c r="AU51" s="14">
        <f t="shared" si="16"/>
        <v>0</v>
      </c>
      <c r="AV51" s="14">
        <f t="shared" si="16"/>
        <v>0</v>
      </c>
      <c r="AW51" s="14">
        <f t="shared" si="16"/>
        <v>0</v>
      </c>
      <c r="AX51" s="14">
        <f t="shared" si="16"/>
        <v>0</v>
      </c>
      <c r="AY51" s="14">
        <f t="shared" si="16"/>
        <v>0</v>
      </c>
      <c r="AZ51" s="14">
        <f t="shared" si="16"/>
        <v>0</v>
      </c>
    </row>
    <row r="52" spans="1:52">
      <c r="A52">
        <f>Grades!A52</f>
        <v>0</v>
      </c>
      <c r="B52">
        <f>Grades!B52</f>
        <v>0</v>
      </c>
      <c r="C52" s="12">
        <f>Grades!C52</f>
        <v>0</v>
      </c>
      <c r="D52" s="13">
        <f t="shared" si="1"/>
        <v>0</v>
      </c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3"/>
      <c r="X52" s="13"/>
      <c r="Y52" s="13"/>
      <c r="Z52" s="13"/>
      <c r="AB52" s="13">
        <f t="shared" si="2"/>
        <v>0</v>
      </c>
      <c r="AC52" s="13">
        <f t="shared" si="3"/>
        <v>0</v>
      </c>
      <c r="AD52" s="13">
        <f t="shared" si="4"/>
        <v>0</v>
      </c>
      <c r="AE52" s="13">
        <f t="shared" si="5"/>
        <v>0</v>
      </c>
      <c r="AF52" s="13">
        <f t="shared" si="6"/>
        <v>0</v>
      </c>
      <c r="AG52" s="13">
        <f t="shared" si="7"/>
        <v>0</v>
      </c>
      <c r="AH52" s="13">
        <f t="shared" si="8"/>
        <v>0</v>
      </c>
      <c r="AI52" s="13">
        <f t="shared" si="9"/>
        <v>0</v>
      </c>
      <c r="AJ52" s="13">
        <f t="shared" si="10"/>
        <v>0</v>
      </c>
      <c r="AK52" s="13">
        <f t="shared" si="11"/>
        <v>0</v>
      </c>
      <c r="AL52" s="13">
        <f t="shared" si="12"/>
        <v>0</v>
      </c>
      <c r="AM52" s="13">
        <f t="shared" si="13"/>
        <v>0</v>
      </c>
      <c r="AO52" s="14">
        <f t="shared" si="17"/>
        <v>0</v>
      </c>
      <c r="AP52" s="14">
        <f t="shared" si="16"/>
        <v>0</v>
      </c>
      <c r="AQ52" s="14">
        <f t="shared" si="16"/>
        <v>0</v>
      </c>
      <c r="AR52" s="14">
        <f t="shared" si="16"/>
        <v>0</v>
      </c>
      <c r="AS52" s="14">
        <f t="shared" si="16"/>
        <v>0</v>
      </c>
      <c r="AT52" s="14">
        <f t="shared" si="16"/>
        <v>0</v>
      </c>
      <c r="AU52" s="14">
        <f t="shared" si="16"/>
        <v>0</v>
      </c>
      <c r="AV52" s="14">
        <f t="shared" si="16"/>
        <v>0</v>
      </c>
      <c r="AW52" s="14">
        <f t="shared" si="16"/>
        <v>0</v>
      </c>
      <c r="AX52" s="14">
        <f t="shared" si="16"/>
        <v>0</v>
      </c>
      <c r="AY52" s="14">
        <f t="shared" si="16"/>
        <v>0</v>
      </c>
      <c r="AZ52" s="14">
        <f t="shared" si="16"/>
        <v>0</v>
      </c>
    </row>
    <row r="53" spans="1:52">
      <c r="A53">
        <f>Grades!A53</f>
        <v>0</v>
      </c>
      <c r="B53">
        <f>Grades!B53</f>
        <v>0</v>
      </c>
      <c r="C53" s="12">
        <f>Grades!C53</f>
        <v>0</v>
      </c>
      <c r="D53" s="13">
        <f t="shared" si="1"/>
        <v>0</v>
      </c>
      <c r="E53" s="13"/>
      <c r="F53" s="13"/>
      <c r="G53" s="13"/>
      <c r="H53" s="13"/>
      <c r="I53" s="13"/>
      <c r="J53" s="13"/>
      <c r="K53" s="13"/>
      <c r="L53" s="13"/>
      <c r="M53" s="13"/>
      <c r="N53" s="13"/>
      <c r="O53" s="13"/>
      <c r="P53" s="13"/>
      <c r="Q53" s="13"/>
      <c r="R53" s="13"/>
      <c r="S53" s="13"/>
      <c r="T53" s="13"/>
      <c r="U53" s="13"/>
      <c r="V53" s="13"/>
      <c r="W53" s="13"/>
      <c r="X53" s="13"/>
      <c r="Y53" s="13"/>
      <c r="Z53" s="13"/>
      <c r="AB53" s="13">
        <f t="shared" si="2"/>
        <v>0</v>
      </c>
      <c r="AC53" s="13">
        <f t="shared" si="3"/>
        <v>0</v>
      </c>
      <c r="AD53" s="13">
        <f t="shared" si="4"/>
        <v>0</v>
      </c>
      <c r="AE53" s="13">
        <f t="shared" si="5"/>
        <v>0</v>
      </c>
      <c r="AF53" s="13">
        <f t="shared" si="6"/>
        <v>0</v>
      </c>
      <c r="AG53" s="13">
        <f t="shared" si="7"/>
        <v>0</v>
      </c>
      <c r="AH53" s="13">
        <f t="shared" si="8"/>
        <v>0</v>
      </c>
      <c r="AI53" s="13">
        <f t="shared" si="9"/>
        <v>0</v>
      </c>
      <c r="AJ53" s="13">
        <f t="shared" si="10"/>
        <v>0</v>
      </c>
      <c r="AK53" s="13">
        <f t="shared" si="11"/>
        <v>0</v>
      </c>
      <c r="AL53" s="13">
        <f t="shared" si="12"/>
        <v>0</v>
      </c>
      <c r="AM53" s="13">
        <f t="shared" si="13"/>
        <v>0</v>
      </c>
      <c r="AO53" s="14">
        <f t="shared" si="17"/>
        <v>0</v>
      </c>
      <c r="AP53" s="14">
        <f t="shared" si="16"/>
        <v>0</v>
      </c>
      <c r="AQ53" s="14">
        <f t="shared" si="16"/>
        <v>0</v>
      </c>
      <c r="AR53" s="14">
        <f t="shared" si="16"/>
        <v>0</v>
      </c>
      <c r="AS53" s="14">
        <f t="shared" si="16"/>
        <v>0</v>
      </c>
      <c r="AT53" s="14">
        <f t="shared" si="16"/>
        <v>0</v>
      </c>
      <c r="AU53" s="14">
        <f t="shared" si="16"/>
        <v>0</v>
      </c>
      <c r="AV53" s="14">
        <f t="shared" si="16"/>
        <v>0</v>
      </c>
      <c r="AW53" s="14">
        <f t="shared" si="16"/>
        <v>0</v>
      </c>
      <c r="AX53" s="14">
        <f t="shared" si="16"/>
        <v>0</v>
      </c>
      <c r="AY53" s="14">
        <f t="shared" si="16"/>
        <v>0</v>
      </c>
      <c r="AZ53" s="14">
        <f t="shared" si="16"/>
        <v>0</v>
      </c>
    </row>
    <row r="54" spans="1:52">
      <c r="A54">
        <f>Grades!A54</f>
        <v>0</v>
      </c>
      <c r="B54">
        <f>Grades!B54</f>
        <v>0</v>
      </c>
      <c r="C54" s="12">
        <f>Grades!C54</f>
        <v>0</v>
      </c>
      <c r="D54" s="13">
        <f t="shared" si="1"/>
        <v>0</v>
      </c>
      <c r="E54" s="13"/>
      <c r="F54" s="13"/>
      <c r="G54" s="13"/>
      <c r="H54" s="13"/>
      <c r="I54" s="13"/>
      <c r="J54" s="13"/>
      <c r="K54" s="13"/>
      <c r="L54" s="13"/>
      <c r="M54" s="13"/>
      <c r="N54" s="13"/>
      <c r="O54" s="13"/>
      <c r="P54" s="13"/>
      <c r="Q54" s="13"/>
      <c r="R54" s="13"/>
      <c r="S54" s="13"/>
      <c r="T54" s="13"/>
      <c r="U54" s="13"/>
      <c r="V54" s="13"/>
      <c r="W54" s="13"/>
      <c r="X54" s="13"/>
      <c r="Y54" s="13"/>
      <c r="Z54" s="13"/>
      <c r="AB54" s="13">
        <f t="shared" si="2"/>
        <v>0</v>
      </c>
      <c r="AC54" s="13">
        <f t="shared" si="3"/>
        <v>0</v>
      </c>
      <c r="AD54" s="13">
        <f t="shared" si="4"/>
        <v>0</v>
      </c>
      <c r="AE54" s="13">
        <f t="shared" si="5"/>
        <v>0</v>
      </c>
      <c r="AF54" s="13">
        <f t="shared" si="6"/>
        <v>0</v>
      </c>
      <c r="AG54" s="13">
        <f t="shared" si="7"/>
        <v>0</v>
      </c>
      <c r="AH54" s="13">
        <f t="shared" si="8"/>
        <v>0</v>
      </c>
      <c r="AI54" s="13">
        <f t="shared" si="9"/>
        <v>0</v>
      </c>
      <c r="AJ54" s="13">
        <f t="shared" si="10"/>
        <v>0</v>
      </c>
      <c r="AK54" s="13">
        <f t="shared" si="11"/>
        <v>0</v>
      </c>
      <c r="AL54" s="13">
        <f t="shared" si="12"/>
        <v>0</v>
      </c>
      <c r="AM54" s="13">
        <f t="shared" si="13"/>
        <v>0</v>
      </c>
      <c r="AO54" s="14">
        <f t="shared" si="17"/>
        <v>0</v>
      </c>
      <c r="AP54" s="14">
        <f t="shared" si="16"/>
        <v>0</v>
      </c>
      <c r="AQ54" s="14">
        <f t="shared" si="16"/>
        <v>0</v>
      </c>
      <c r="AR54" s="14">
        <f t="shared" si="16"/>
        <v>0</v>
      </c>
      <c r="AS54" s="14">
        <f t="shared" si="16"/>
        <v>0</v>
      </c>
      <c r="AT54" s="14">
        <f t="shared" si="16"/>
        <v>0</v>
      </c>
      <c r="AU54" s="14">
        <f t="shared" si="16"/>
        <v>0</v>
      </c>
      <c r="AV54" s="14">
        <f t="shared" si="16"/>
        <v>0</v>
      </c>
      <c r="AW54" s="14">
        <f t="shared" si="16"/>
        <v>0</v>
      </c>
      <c r="AX54" s="14">
        <f t="shared" si="16"/>
        <v>0</v>
      </c>
      <c r="AY54" s="14">
        <f t="shared" si="16"/>
        <v>0</v>
      </c>
      <c r="AZ54" s="14">
        <f t="shared" si="16"/>
        <v>0</v>
      </c>
    </row>
    <row r="55" spans="1:52">
      <c r="A55">
        <f>Grades!A55</f>
        <v>0</v>
      </c>
      <c r="B55">
        <f>Grades!B55</f>
        <v>0</v>
      </c>
      <c r="C55" s="12">
        <f>Grades!C55</f>
        <v>0</v>
      </c>
      <c r="D55" s="13">
        <f t="shared" si="1"/>
        <v>0</v>
      </c>
      <c r="E55" s="13"/>
      <c r="F55" s="13"/>
      <c r="G55" s="13"/>
      <c r="H55" s="13"/>
      <c r="I55" s="13"/>
      <c r="J55" s="13"/>
      <c r="K55" s="13"/>
      <c r="L55" s="13"/>
      <c r="M55" s="13"/>
      <c r="N55" s="13"/>
      <c r="O55" s="13"/>
      <c r="P55" s="13"/>
      <c r="Q55" s="13"/>
      <c r="R55" s="13"/>
      <c r="S55" s="13"/>
      <c r="T55" s="13"/>
      <c r="U55" s="13"/>
      <c r="V55" s="13"/>
      <c r="W55" s="13"/>
      <c r="X55" s="13"/>
      <c r="Y55" s="13"/>
      <c r="Z55" s="13"/>
      <c r="AB55" s="13">
        <f t="shared" si="2"/>
        <v>0</v>
      </c>
      <c r="AC55" s="13">
        <f t="shared" si="3"/>
        <v>0</v>
      </c>
      <c r="AD55" s="13">
        <f t="shared" si="4"/>
        <v>0</v>
      </c>
      <c r="AE55" s="13">
        <f t="shared" si="5"/>
        <v>0</v>
      </c>
      <c r="AF55" s="13">
        <f t="shared" si="6"/>
        <v>0</v>
      </c>
      <c r="AG55" s="13">
        <f t="shared" si="7"/>
        <v>0</v>
      </c>
      <c r="AH55" s="13">
        <f t="shared" si="8"/>
        <v>0</v>
      </c>
      <c r="AI55" s="13">
        <f t="shared" si="9"/>
        <v>0</v>
      </c>
      <c r="AJ55" s="13">
        <f t="shared" si="10"/>
        <v>0</v>
      </c>
      <c r="AK55" s="13">
        <f t="shared" si="11"/>
        <v>0</v>
      </c>
      <c r="AL55" s="13">
        <f t="shared" si="12"/>
        <v>0</v>
      </c>
      <c r="AM55" s="13">
        <f t="shared" si="13"/>
        <v>0</v>
      </c>
      <c r="AO55" s="14">
        <f t="shared" si="17"/>
        <v>0</v>
      </c>
      <c r="AP55" s="14">
        <f t="shared" si="16"/>
        <v>0</v>
      </c>
      <c r="AQ55" s="14">
        <f t="shared" si="16"/>
        <v>0</v>
      </c>
      <c r="AR55" s="14">
        <f t="shared" si="16"/>
        <v>0</v>
      </c>
      <c r="AS55" s="14">
        <f t="shared" si="16"/>
        <v>0</v>
      </c>
      <c r="AT55" s="14">
        <f t="shared" si="16"/>
        <v>0</v>
      </c>
      <c r="AU55" s="14">
        <f t="shared" si="16"/>
        <v>0</v>
      </c>
      <c r="AV55" s="14">
        <f t="shared" si="16"/>
        <v>0</v>
      </c>
      <c r="AW55" s="14">
        <f t="shared" si="16"/>
        <v>0</v>
      </c>
      <c r="AX55" s="14">
        <f t="shared" si="16"/>
        <v>0</v>
      </c>
      <c r="AY55" s="14">
        <f t="shared" si="16"/>
        <v>0</v>
      </c>
      <c r="AZ55" s="14">
        <f t="shared" si="16"/>
        <v>0</v>
      </c>
    </row>
    <row r="56" spans="1:52">
      <c r="A56">
        <f>Grades!A56</f>
        <v>0</v>
      </c>
      <c r="B56">
        <f>Grades!B56</f>
        <v>0</v>
      </c>
      <c r="C56" s="12">
        <f>Grades!C56</f>
        <v>0</v>
      </c>
      <c r="D56" s="13">
        <f t="shared" si="1"/>
        <v>0</v>
      </c>
      <c r="E56" s="13"/>
      <c r="F56" s="13"/>
      <c r="G56" s="13"/>
      <c r="H56" s="13"/>
      <c r="I56" s="13"/>
      <c r="J56" s="13"/>
      <c r="K56" s="13"/>
      <c r="L56" s="13"/>
      <c r="M56" s="13"/>
      <c r="N56" s="13"/>
      <c r="O56" s="13"/>
      <c r="P56" s="13"/>
      <c r="Q56" s="13"/>
      <c r="R56" s="13"/>
      <c r="S56" s="13"/>
      <c r="T56" s="13"/>
      <c r="U56" s="13"/>
      <c r="V56" s="13"/>
      <c r="W56" s="13"/>
      <c r="X56" s="13"/>
      <c r="Y56" s="13"/>
      <c r="Z56" s="13"/>
      <c r="AB56" s="13">
        <f t="shared" si="2"/>
        <v>0</v>
      </c>
      <c r="AC56" s="13">
        <f t="shared" si="3"/>
        <v>0</v>
      </c>
      <c r="AD56" s="13">
        <f t="shared" si="4"/>
        <v>0</v>
      </c>
      <c r="AE56" s="13">
        <f t="shared" si="5"/>
        <v>0</v>
      </c>
      <c r="AF56" s="13">
        <f t="shared" si="6"/>
        <v>0</v>
      </c>
      <c r="AG56" s="13">
        <f t="shared" si="7"/>
        <v>0</v>
      </c>
      <c r="AH56" s="13">
        <f t="shared" si="8"/>
        <v>0</v>
      </c>
      <c r="AI56" s="13">
        <f t="shared" si="9"/>
        <v>0</v>
      </c>
      <c r="AJ56" s="13">
        <f t="shared" si="10"/>
        <v>0</v>
      </c>
      <c r="AK56" s="13">
        <f t="shared" si="11"/>
        <v>0</v>
      </c>
      <c r="AL56" s="13">
        <f t="shared" si="12"/>
        <v>0</v>
      </c>
      <c r="AM56" s="13">
        <f t="shared" si="13"/>
        <v>0</v>
      </c>
      <c r="AO56" s="14">
        <f t="shared" si="17"/>
        <v>0</v>
      </c>
      <c r="AP56" s="14">
        <f t="shared" si="16"/>
        <v>0</v>
      </c>
      <c r="AQ56" s="14">
        <f t="shared" si="16"/>
        <v>0</v>
      </c>
      <c r="AR56" s="14">
        <f t="shared" si="16"/>
        <v>0</v>
      </c>
      <c r="AS56" s="14">
        <f t="shared" si="16"/>
        <v>0</v>
      </c>
      <c r="AT56" s="14">
        <f t="shared" si="16"/>
        <v>0</v>
      </c>
      <c r="AU56" s="14">
        <f t="shared" si="16"/>
        <v>0</v>
      </c>
      <c r="AV56" s="14">
        <f t="shared" si="16"/>
        <v>0</v>
      </c>
      <c r="AW56" s="14">
        <f t="shared" si="16"/>
        <v>0</v>
      </c>
      <c r="AX56" s="14">
        <f t="shared" si="16"/>
        <v>0</v>
      </c>
      <c r="AY56" s="14">
        <f t="shared" si="16"/>
        <v>0</v>
      </c>
      <c r="AZ56" s="14">
        <f t="shared" si="16"/>
        <v>0</v>
      </c>
    </row>
    <row r="57" spans="1:52">
      <c r="A57">
        <f>Grades!A57</f>
        <v>0</v>
      </c>
      <c r="B57">
        <f>Grades!B57</f>
        <v>0</v>
      </c>
      <c r="C57" s="12">
        <f>Grades!C57</f>
        <v>0</v>
      </c>
      <c r="D57" s="13">
        <f t="shared" si="1"/>
        <v>0</v>
      </c>
      <c r="E57" s="13"/>
      <c r="F57" s="13"/>
      <c r="G57" s="13"/>
      <c r="H57" s="13"/>
      <c r="I57" s="13"/>
      <c r="J57" s="13"/>
      <c r="K57" s="13"/>
      <c r="L57" s="13"/>
      <c r="M57" s="13"/>
      <c r="N57" s="13"/>
      <c r="O57" s="13"/>
      <c r="P57" s="13"/>
      <c r="Q57" s="13"/>
      <c r="R57" s="13"/>
      <c r="S57" s="13"/>
      <c r="T57" s="13"/>
      <c r="U57" s="13"/>
      <c r="V57" s="13"/>
      <c r="W57" s="13"/>
      <c r="X57" s="13"/>
      <c r="Y57" s="13"/>
      <c r="Z57" s="13"/>
      <c r="AB57" s="13">
        <f t="shared" si="2"/>
        <v>0</v>
      </c>
      <c r="AC57" s="13">
        <f t="shared" si="3"/>
        <v>0</v>
      </c>
      <c r="AD57" s="13">
        <f t="shared" si="4"/>
        <v>0</v>
      </c>
      <c r="AE57" s="13">
        <f t="shared" si="5"/>
        <v>0</v>
      </c>
      <c r="AF57" s="13">
        <f t="shared" si="6"/>
        <v>0</v>
      </c>
      <c r="AG57" s="13">
        <f t="shared" si="7"/>
        <v>0</v>
      </c>
      <c r="AH57" s="13">
        <f t="shared" si="8"/>
        <v>0</v>
      </c>
      <c r="AI57" s="13">
        <f t="shared" si="9"/>
        <v>0</v>
      </c>
      <c r="AJ57" s="13">
        <f t="shared" si="10"/>
        <v>0</v>
      </c>
      <c r="AK57" s="13">
        <f t="shared" si="11"/>
        <v>0</v>
      </c>
      <c r="AL57" s="13">
        <f t="shared" si="12"/>
        <v>0</v>
      </c>
      <c r="AM57" s="13">
        <f t="shared" si="13"/>
        <v>0</v>
      </c>
      <c r="AO57" s="14">
        <f t="shared" si="17"/>
        <v>0</v>
      </c>
      <c r="AP57" s="14">
        <f t="shared" si="16"/>
        <v>0</v>
      </c>
      <c r="AQ57" s="14">
        <f t="shared" si="16"/>
        <v>0</v>
      </c>
      <c r="AR57" s="14">
        <f t="shared" si="16"/>
        <v>0</v>
      </c>
      <c r="AS57" s="14">
        <f t="shared" si="16"/>
        <v>0</v>
      </c>
      <c r="AT57" s="14">
        <f t="shared" si="16"/>
        <v>0</v>
      </c>
      <c r="AU57" s="14">
        <f t="shared" si="16"/>
        <v>0</v>
      </c>
      <c r="AV57" s="14">
        <f t="shared" si="16"/>
        <v>0</v>
      </c>
      <c r="AW57" s="14">
        <f t="shared" si="16"/>
        <v>0</v>
      </c>
      <c r="AX57" s="14">
        <f t="shared" si="16"/>
        <v>0</v>
      </c>
      <c r="AY57" s="14">
        <f t="shared" si="16"/>
        <v>0</v>
      </c>
      <c r="AZ57" s="14">
        <f t="shared" si="16"/>
        <v>0</v>
      </c>
    </row>
    <row r="58" spans="1:52">
      <c r="A58">
        <f>Grades!A58</f>
        <v>0</v>
      </c>
      <c r="B58">
        <f>Grades!B58</f>
        <v>0</v>
      </c>
      <c r="C58" s="12">
        <f>Grades!C58</f>
        <v>0</v>
      </c>
      <c r="D58" s="13">
        <f t="shared" si="1"/>
        <v>0</v>
      </c>
      <c r="E58" s="13"/>
      <c r="F58" s="13"/>
      <c r="G58" s="13"/>
      <c r="H58" s="13"/>
      <c r="I58" s="13"/>
      <c r="J58" s="13"/>
      <c r="K58" s="13"/>
      <c r="L58" s="13"/>
      <c r="M58" s="13"/>
      <c r="N58" s="13"/>
      <c r="O58" s="13"/>
      <c r="P58" s="13"/>
      <c r="Q58" s="13"/>
      <c r="R58" s="13"/>
      <c r="S58" s="13"/>
      <c r="T58" s="13"/>
      <c r="U58" s="13"/>
      <c r="V58" s="13"/>
      <c r="W58" s="13"/>
      <c r="X58" s="13"/>
      <c r="Y58" s="13"/>
      <c r="Z58" s="13"/>
      <c r="AB58" s="13">
        <f t="shared" si="2"/>
        <v>0</v>
      </c>
      <c r="AC58" s="13">
        <f t="shared" si="3"/>
        <v>0</v>
      </c>
      <c r="AD58" s="13">
        <f t="shared" si="4"/>
        <v>0</v>
      </c>
      <c r="AE58" s="13">
        <f t="shared" si="5"/>
        <v>0</v>
      </c>
      <c r="AF58" s="13">
        <f t="shared" si="6"/>
        <v>0</v>
      </c>
      <c r="AG58" s="13">
        <f t="shared" si="7"/>
        <v>0</v>
      </c>
      <c r="AH58" s="13">
        <f t="shared" si="8"/>
        <v>0</v>
      </c>
      <c r="AI58" s="13">
        <f t="shared" si="9"/>
        <v>0</v>
      </c>
      <c r="AJ58" s="13">
        <f t="shared" si="10"/>
        <v>0</v>
      </c>
      <c r="AK58" s="13">
        <f t="shared" si="11"/>
        <v>0</v>
      </c>
      <c r="AL58" s="13">
        <f t="shared" si="12"/>
        <v>0</v>
      </c>
      <c r="AM58" s="13">
        <f t="shared" si="13"/>
        <v>0</v>
      </c>
      <c r="AO58" s="14">
        <f t="shared" si="17"/>
        <v>0</v>
      </c>
      <c r="AP58" s="14">
        <f t="shared" si="16"/>
        <v>0</v>
      </c>
      <c r="AQ58" s="14">
        <f t="shared" si="16"/>
        <v>0</v>
      </c>
      <c r="AR58" s="14">
        <f t="shared" si="16"/>
        <v>0</v>
      </c>
      <c r="AS58" s="14">
        <f t="shared" si="16"/>
        <v>0</v>
      </c>
      <c r="AT58" s="14">
        <f t="shared" si="16"/>
        <v>0</v>
      </c>
      <c r="AU58" s="14">
        <f t="shared" si="16"/>
        <v>0</v>
      </c>
      <c r="AV58" s="14">
        <f t="shared" si="16"/>
        <v>0</v>
      </c>
      <c r="AW58" s="14">
        <f t="shared" si="16"/>
        <v>0</v>
      </c>
      <c r="AX58" s="14">
        <f t="shared" si="16"/>
        <v>0</v>
      </c>
      <c r="AY58" s="14">
        <f t="shared" si="16"/>
        <v>0</v>
      </c>
      <c r="AZ58" s="14">
        <f t="shared" si="16"/>
        <v>0</v>
      </c>
    </row>
    <row r="59" spans="1:52">
      <c r="A59">
        <f>Grades!A59</f>
        <v>0</v>
      </c>
      <c r="B59">
        <f>Grades!B59</f>
        <v>0</v>
      </c>
      <c r="C59" s="12">
        <f>Grades!C59</f>
        <v>0</v>
      </c>
      <c r="D59" s="13">
        <f t="shared" si="1"/>
        <v>0</v>
      </c>
      <c r="E59" s="13"/>
      <c r="F59" s="13"/>
      <c r="G59" s="13"/>
      <c r="H59" s="13"/>
      <c r="I59" s="13"/>
      <c r="J59" s="13"/>
      <c r="K59" s="13"/>
      <c r="L59" s="13"/>
      <c r="M59" s="13"/>
      <c r="N59" s="13"/>
      <c r="O59" s="13"/>
      <c r="P59" s="13"/>
      <c r="Q59" s="13"/>
      <c r="R59" s="13"/>
      <c r="S59" s="13"/>
      <c r="T59" s="13"/>
      <c r="U59" s="13"/>
      <c r="V59" s="13"/>
      <c r="W59" s="13"/>
      <c r="X59" s="13"/>
      <c r="Y59" s="13"/>
      <c r="Z59" s="13"/>
      <c r="AB59" s="13">
        <f t="shared" si="2"/>
        <v>0</v>
      </c>
      <c r="AC59" s="13">
        <f t="shared" si="3"/>
        <v>0</v>
      </c>
      <c r="AD59" s="13">
        <f t="shared" si="4"/>
        <v>0</v>
      </c>
      <c r="AE59" s="13">
        <f t="shared" si="5"/>
        <v>0</v>
      </c>
      <c r="AF59" s="13">
        <f t="shared" si="6"/>
        <v>0</v>
      </c>
      <c r="AG59" s="13">
        <f t="shared" si="7"/>
        <v>0</v>
      </c>
      <c r="AH59" s="13">
        <f t="shared" si="8"/>
        <v>0</v>
      </c>
      <c r="AI59" s="13">
        <f t="shared" si="9"/>
        <v>0</v>
      </c>
      <c r="AJ59" s="13">
        <f t="shared" si="10"/>
        <v>0</v>
      </c>
      <c r="AK59" s="13">
        <f t="shared" si="11"/>
        <v>0</v>
      </c>
      <c r="AL59" s="13">
        <f t="shared" si="12"/>
        <v>0</v>
      </c>
      <c r="AM59" s="13">
        <f t="shared" si="13"/>
        <v>0</v>
      </c>
      <c r="AO59" s="14">
        <f t="shared" si="17"/>
        <v>0</v>
      </c>
      <c r="AP59" s="14">
        <f t="shared" si="16"/>
        <v>0</v>
      </c>
      <c r="AQ59" s="14">
        <f t="shared" si="16"/>
        <v>0</v>
      </c>
      <c r="AR59" s="14">
        <f t="shared" si="16"/>
        <v>0</v>
      </c>
      <c r="AS59" s="14">
        <f t="shared" si="16"/>
        <v>0</v>
      </c>
      <c r="AT59" s="14">
        <f t="shared" si="16"/>
        <v>0</v>
      </c>
      <c r="AU59" s="14">
        <f t="shared" si="16"/>
        <v>0</v>
      </c>
      <c r="AV59" s="14">
        <f t="shared" si="16"/>
        <v>0</v>
      </c>
      <c r="AW59" s="14">
        <f t="shared" si="16"/>
        <v>0</v>
      </c>
      <c r="AX59" s="14">
        <f t="shared" si="16"/>
        <v>0</v>
      </c>
      <c r="AY59" s="14">
        <f t="shared" si="16"/>
        <v>0</v>
      </c>
      <c r="AZ59" s="14">
        <f t="shared" si="16"/>
        <v>0</v>
      </c>
    </row>
    <row r="60" spans="1:52">
      <c r="A60">
        <f>Grades!A60</f>
        <v>0</v>
      </c>
      <c r="B60">
        <f>Grades!B60</f>
        <v>0</v>
      </c>
      <c r="C60" s="12">
        <f>Grades!C60</f>
        <v>0</v>
      </c>
      <c r="D60" s="13">
        <f t="shared" si="1"/>
        <v>0</v>
      </c>
      <c r="E60" s="13"/>
      <c r="F60" s="13"/>
      <c r="G60" s="13"/>
      <c r="H60" s="13"/>
      <c r="I60" s="13"/>
      <c r="J60" s="13"/>
      <c r="K60" s="13"/>
      <c r="L60" s="13"/>
      <c r="M60" s="13"/>
      <c r="N60" s="13"/>
      <c r="O60" s="13"/>
      <c r="P60" s="13"/>
      <c r="Q60" s="13"/>
      <c r="R60" s="13"/>
      <c r="S60" s="13"/>
      <c r="T60" s="13"/>
      <c r="U60" s="13"/>
      <c r="V60" s="13"/>
      <c r="W60" s="13"/>
      <c r="X60" s="13"/>
      <c r="Y60" s="13"/>
      <c r="Z60" s="13"/>
      <c r="AB60" s="13">
        <f t="shared" si="2"/>
        <v>0</v>
      </c>
      <c r="AC60" s="13">
        <f t="shared" si="3"/>
        <v>0</v>
      </c>
      <c r="AD60" s="13">
        <f t="shared" si="4"/>
        <v>0</v>
      </c>
      <c r="AE60" s="13">
        <f t="shared" si="5"/>
        <v>0</v>
      </c>
      <c r="AF60" s="13">
        <f t="shared" si="6"/>
        <v>0</v>
      </c>
      <c r="AG60" s="13">
        <f t="shared" si="7"/>
        <v>0</v>
      </c>
      <c r="AH60" s="13">
        <f t="shared" si="8"/>
        <v>0</v>
      </c>
      <c r="AI60" s="13">
        <f t="shared" si="9"/>
        <v>0</v>
      </c>
      <c r="AJ60" s="13">
        <f t="shared" si="10"/>
        <v>0</v>
      </c>
      <c r="AK60" s="13">
        <f t="shared" si="11"/>
        <v>0</v>
      </c>
      <c r="AL60" s="13">
        <f t="shared" si="12"/>
        <v>0</v>
      </c>
      <c r="AM60" s="13">
        <f t="shared" si="13"/>
        <v>0</v>
      </c>
      <c r="AO60" s="14">
        <f t="shared" si="17"/>
        <v>0</v>
      </c>
      <c r="AP60" s="14">
        <f t="shared" si="16"/>
        <v>0</v>
      </c>
      <c r="AQ60" s="14">
        <f t="shared" si="16"/>
        <v>0</v>
      </c>
      <c r="AR60" s="14">
        <f t="shared" si="16"/>
        <v>0</v>
      </c>
      <c r="AS60" s="14">
        <f t="shared" si="16"/>
        <v>0</v>
      </c>
      <c r="AT60" s="14">
        <f t="shared" si="16"/>
        <v>0</v>
      </c>
      <c r="AU60" s="14">
        <f t="shared" si="16"/>
        <v>0</v>
      </c>
      <c r="AV60" s="14">
        <f t="shared" si="16"/>
        <v>0</v>
      </c>
      <c r="AW60" s="14">
        <f t="shared" si="16"/>
        <v>0</v>
      </c>
      <c r="AX60" s="14">
        <f t="shared" si="16"/>
        <v>0</v>
      </c>
      <c r="AY60" s="14">
        <f t="shared" si="16"/>
        <v>0</v>
      </c>
      <c r="AZ60" s="14">
        <f t="shared" si="16"/>
        <v>0</v>
      </c>
    </row>
    <row r="61" spans="1:52">
      <c r="A61">
        <f>Grades!A61</f>
        <v>0</v>
      </c>
      <c r="B61">
        <f>Grades!B61</f>
        <v>0</v>
      </c>
      <c r="C61" s="12">
        <f>Grades!C61</f>
        <v>0</v>
      </c>
      <c r="D61" s="13">
        <f t="shared" si="1"/>
        <v>0</v>
      </c>
      <c r="E61" s="13"/>
      <c r="F61" s="13"/>
      <c r="G61" s="13"/>
      <c r="H61" s="13"/>
      <c r="I61" s="13"/>
      <c r="J61" s="13"/>
      <c r="K61" s="13"/>
      <c r="L61" s="13"/>
      <c r="M61" s="13"/>
      <c r="N61" s="13"/>
      <c r="O61" s="13"/>
      <c r="P61" s="13"/>
      <c r="Q61" s="13"/>
      <c r="R61" s="13"/>
      <c r="S61" s="13"/>
      <c r="T61" s="13"/>
      <c r="U61" s="13"/>
      <c r="V61" s="13"/>
      <c r="W61" s="13"/>
      <c r="X61" s="13"/>
      <c r="Y61" s="13"/>
      <c r="Z61" s="13"/>
      <c r="AB61" s="13">
        <f t="shared" si="2"/>
        <v>0</v>
      </c>
      <c r="AC61" s="13">
        <f t="shared" si="3"/>
        <v>0</v>
      </c>
      <c r="AD61" s="13">
        <f t="shared" si="4"/>
        <v>0</v>
      </c>
      <c r="AE61" s="13">
        <f t="shared" si="5"/>
        <v>0</v>
      </c>
      <c r="AF61" s="13">
        <f t="shared" si="6"/>
        <v>0</v>
      </c>
      <c r="AG61" s="13">
        <f t="shared" si="7"/>
        <v>0</v>
      </c>
      <c r="AH61" s="13">
        <f t="shared" si="8"/>
        <v>0</v>
      </c>
      <c r="AI61" s="13">
        <f t="shared" si="9"/>
        <v>0</v>
      </c>
      <c r="AJ61" s="13">
        <f t="shared" si="10"/>
        <v>0</v>
      </c>
      <c r="AK61" s="13">
        <f t="shared" si="11"/>
        <v>0</v>
      </c>
      <c r="AL61" s="13">
        <f t="shared" si="12"/>
        <v>0</v>
      </c>
      <c r="AM61" s="13">
        <f t="shared" si="13"/>
        <v>0</v>
      </c>
      <c r="AO61" s="14">
        <f t="shared" si="17"/>
        <v>0</v>
      </c>
      <c r="AP61" s="14">
        <f t="shared" si="16"/>
        <v>0</v>
      </c>
      <c r="AQ61" s="14">
        <f t="shared" si="16"/>
        <v>0</v>
      </c>
      <c r="AR61" s="14">
        <f t="shared" si="16"/>
        <v>0</v>
      </c>
      <c r="AS61" s="14">
        <f t="shared" si="16"/>
        <v>0</v>
      </c>
      <c r="AT61" s="14">
        <f t="shared" si="16"/>
        <v>0</v>
      </c>
      <c r="AU61" s="14">
        <f t="shared" si="16"/>
        <v>0</v>
      </c>
      <c r="AV61" s="14">
        <f t="shared" si="16"/>
        <v>0</v>
      </c>
      <c r="AW61" s="14">
        <f t="shared" si="16"/>
        <v>0</v>
      </c>
      <c r="AX61" s="14">
        <f t="shared" si="16"/>
        <v>0</v>
      </c>
      <c r="AY61" s="14">
        <f t="shared" si="16"/>
        <v>0</v>
      </c>
      <c r="AZ61" s="14">
        <f t="shared" si="16"/>
        <v>0</v>
      </c>
    </row>
    <row r="62" spans="1:52">
      <c r="A62">
        <f>Grades!A62</f>
        <v>0</v>
      </c>
      <c r="B62">
        <f>Grades!B62</f>
        <v>0</v>
      </c>
      <c r="C62" s="12">
        <f>Grades!C62</f>
        <v>0</v>
      </c>
      <c r="D62" s="13">
        <f t="shared" si="1"/>
        <v>0</v>
      </c>
      <c r="E62" s="13"/>
      <c r="F62" s="13"/>
      <c r="G62" s="13"/>
      <c r="H62" s="13"/>
      <c r="I62" s="13"/>
      <c r="J62" s="13"/>
      <c r="K62" s="13"/>
      <c r="L62" s="13"/>
      <c r="M62" s="13"/>
      <c r="N62" s="13"/>
      <c r="O62" s="13"/>
      <c r="P62" s="13"/>
      <c r="Q62" s="13"/>
      <c r="R62" s="13"/>
      <c r="S62" s="13"/>
      <c r="T62" s="13"/>
      <c r="U62" s="13"/>
      <c r="V62" s="13"/>
      <c r="W62" s="13"/>
      <c r="X62" s="13"/>
      <c r="Y62" s="13"/>
      <c r="Z62" s="13"/>
      <c r="AB62" s="13">
        <f t="shared" si="2"/>
        <v>0</v>
      </c>
      <c r="AC62" s="13">
        <f t="shared" si="3"/>
        <v>0</v>
      </c>
      <c r="AD62" s="13">
        <f t="shared" si="4"/>
        <v>0</v>
      </c>
      <c r="AE62" s="13">
        <f t="shared" si="5"/>
        <v>0</v>
      </c>
      <c r="AF62" s="13">
        <f t="shared" si="6"/>
        <v>0</v>
      </c>
      <c r="AG62" s="13">
        <f t="shared" si="7"/>
        <v>0</v>
      </c>
      <c r="AH62" s="13">
        <f t="shared" si="8"/>
        <v>0</v>
      </c>
      <c r="AI62" s="13">
        <f t="shared" si="9"/>
        <v>0</v>
      </c>
      <c r="AJ62" s="13">
        <f t="shared" si="10"/>
        <v>0</v>
      </c>
      <c r="AK62" s="13">
        <f t="shared" si="11"/>
        <v>0</v>
      </c>
      <c r="AL62" s="13">
        <f t="shared" si="12"/>
        <v>0</v>
      </c>
      <c r="AM62" s="13">
        <f t="shared" si="13"/>
        <v>0</v>
      </c>
      <c r="AO62" s="14">
        <f t="shared" si="17"/>
        <v>0</v>
      </c>
      <c r="AP62" s="14">
        <f t="shared" si="16"/>
        <v>0</v>
      </c>
      <c r="AQ62" s="14">
        <f t="shared" si="16"/>
        <v>0</v>
      </c>
      <c r="AR62" s="14">
        <f t="shared" si="16"/>
        <v>0</v>
      </c>
      <c r="AS62" s="14">
        <f t="shared" si="16"/>
        <v>0</v>
      </c>
      <c r="AT62" s="14">
        <f t="shared" si="16"/>
        <v>0</v>
      </c>
      <c r="AU62" s="14">
        <f t="shared" si="16"/>
        <v>0</v>
      </c>
      <c r="AV62" s="14">
        <f t="shared" si="16"/>
        <v>0</v>
      </c>
      <c r="AW62" s="14">
        <f t="shared" si="16"/>
        <v>0</v>
      </c>
      <c r="AX62" s="14">
        <f t="shared" si="16"/>
        <v>0</v>
      </c>
      <c r="AY62" s="14">
        <f t="shared" si="16"/>
        <v>0</v>
      </c>
      <c r="AZ62" s="14">
        <f t="shared" si="16"/>
        <v>0</v>
      </c>
    </row>
    <row r="63" spans="1:52">
      <c r="A63">
        <f>Grades!A63</f>
        <v>0</v>
      </c>
      <c r="B63">
        <f>Grades!B63</f>
        <v>0</v>
      </c>
      <c r="C63" s="12">
        <f>Grades!C63</f>
        <v>0</v>
      </c>
      <c r="D63" s="13">
        <f t="shared" si="1"/>
        <v>0</v>
      </c>
      <c r="E63" s="13"/>
      <c r="F63" s="13"/>
      <c r="G63" s="13"/>
      <c r="H63" s="13"/>
      <c r="I63" s="13"/>
      <c r="J63" s="13"/>
      <c r="K63" s="13"/>
      <c r="L63" s="13"/>
      <c r="M63" s="13"/>
      <c r="N63" s="13"/>
      <c r="O63" s="13"/>
      <c r="P63" s="13"/>
      <c r="Q63" s="13"/>
      <c r="R63" s="13"/>
      <c r="S63" s="13"/>
      <c r="T63" s="13"/>
      <c r="U63" s="13"/>
      <c r="V63" s="13"/>
      <c r="W63" s="13"/>
      <c r="X63" s="13"/>
      <c r="Y63" s="13"/>
      <c r="Z63" s="13"/>
      <c r="AB63" s="13">
        <f t="shared" si="2"/>
        <v>0</v>
      </c>
      <c r="AC63" s="13">
        <f t="shared" si="3"/>
        <v>0</v>
      </c>
      <c r="AD63" s="13">
        <f t="shared" si="4"/>
        <v>0</v>
      </c>
      <c r="AE63" s="13">
        <f t="shared" si="5"/>
        <v>0</v>
      </c>
      <c r="AF63" s="13">
        <f t="shared" si="6"/>
        <v>0</v>
      </c>
      <c r="AG63" s="13">
        <f t="shared" si="7"/>
        <v>0</v>
      </c>
      <c r="AH63" s="13">
        <f t="shared" si="8"/>
        <v>0</v>
      </c>
      <c r="AI63" s="13">
        <f t="shared" si="9"/>
        <v>0</v>
      </c>
      <c r="AJ63" s="13">
        <f t="shared" si="10"/>
        <v>0</v>
      </c>
      <c r="AK63" s="13">
        <f t="shared" si="11"/>
        <v>0</v>
      </c>
      <c r="AL63" s="13">
        <f t="shared" si="12"/>
        <v>0</v>
      </c>
      <c r="AM63" s="13">
        <f t="shared" si="13"/>
        <v>0</v>
      </c>
      <c r="AO63" s="14">
        <f t="shared" si="17"/>
        <v>0</v>
      </c>
      <c r="AP63" s="14">
        <f t="shared" si="16"/>
        <v>0</v>
      </c>
      <c r="AQ63" s="14">
        <f t="shared" si="16"/>
        <v>0</v>
      </c>
      <c r="AR63" s="14">
        <f t="shared" si="16"/>
        <v>0</v>
      </c>
      <c r="AS63" s="14">
        <f t="shared" si="16"/>
        <v>0</v>
      </c>
      <c r="AT63" s="14">
        <f t="shared" si="16"/>
        <v>0</v>
      </c>
      <c r="AU63" s="14">
        <f t="shared" si="16"/>
        <v>0</v>
      </c>
      <c r="AV63" s="14">
        <f t="shared" si="16"/>
        <v>0</v>
      </c>
      <c r="AW63" s="14">
        <f t="shared" si="16"/>
        <v>0</v>
      </c>
      <c r="AX63" s="14">
        <f t="shared" si="16"/>
        <v>0</v>
      </c>
      <c r="AY63" s="14">
        <f t="shared" si="16"/>
        <v>0</v>
      </c>
      <c r="AZ63" s="14">
        <f t="shared" si="16"/>
        <v>0</v>
      </c>
    </row>
    <row r="64" spans="1:52">
      <c r="A64">
        <f>Grades!A64</f>
        <v>0</v>
      </c>
      <c r="B64">
        <f>Grades!B64</f>
        <v>0</v>
      </c>
      <c r="C64" s="12">
        <f>Grades!C64</f>
        <v>0</v>
      </c>
      <c r="D64" s="13">
        <f t="shared" si="1"/>
        <v>0</v>
      </c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3"/>
      <c r="P64" s="13"/>
      <c r="Q64" s="13"/>
      <c r="R64" s="13"/>
      <c r="S64" s="13"/>
      <c r="T64" s="13"/>
      <c r="U64" s="13"/>
      <c r="V64" s="13"/>
      <c r="W64" s="13"/>
      <c r="X64" s="13"/>
      <c r="Y64" s="13"/>
      <c r="Z64" s="13"/>
      <c r="AB64" s="13">
        <f t="shared" si="2"/>
        <v>0</v>
      </c>
      <c r="AC64" s="13">
        <f t="shared" si="3"/>
        <v>0</v>
      </c>
      <c r="AD64" s="13">
        <f t="shared" si="4"/>
        <v>0</v>
      </c>
      <c r="AE64" s="13">
        <f t="shared" si="5"/>
        <v>0</v>
      </c>
      <c r="AF64" s="13">
        <f t="shared" si="6"/>
        <v>0</v>
      </c>
      <c r="AG64" s="13">
        <f t="shared" si="7"/>
        <v>0</v>
      </c>
      <c r="AH64" s="13">
        <f t="shared" si="8"/>
        <v>0</v>
      </c>
      <c r="AI64" s="13">
        <f t="shared" si="9"/>
        <v>0</v>
      </c>
      <c r="AJ64" s="13">
        <f t="shared" si="10"/>
        <v>0</v>
      </c>
      <c r="AK64" s="13">
        <f t="shared" si="11"/>
        <v>0</v>
      </c>
      <c r="AL64" s="13">
        <f t="shared" si="12"/>
        <v>0</v>
      </c>
      <c r="AM64" s="13">
        <f t="shared" si="13"/>
        <v>0</v>
      </c>
      <c r="AO64" s="14">
        <f t="shared" si="17"/>
        <v>0</v>
      </c>
      <c r="AP64" s="14">
        <f t="shared" si="16"/>
        <v>0</v>
      </c>
      <c r="AQ64" s="14">
        <f t="shared" si="16"/>
        <v>0</v>
      </c>
      <c r="AR64" s="14">
        <f t="shared" si="16"/>
        <v>0</v>
      </c>
      <c r="AS64" s="14">
        <f t="shared" si="16"/>
        <v>0</v>
      </c>
      <c r="AT64" s="14">
        <f t="shared" si="16"/>
        <v>0</v>
      </c>
      <c r="AU64" s="14">
        <f t="shared" si="16"/>
        <v>0</v>
      </c>
      <c r="AV64" s="14">
        <f t="shared" si="16"/>
        <v>0</v>
      </c>
      <c r="AW64" s="14">
        <f t="shared" si="16"/>
        <v>0</v>
      </c>
      <c r="AX64" s="14">
        <f t="shared" si="16"/>
        <v>0</v>
      </c>
      <c r="AY64" s="14">
        <f t="shared" si="16"/>
        <v>0</v>
      </c>
      <c r="AZ64" s="14">
        <f t="shared" si="16"/>
        <v>0</v>
      </c>
    </row>
    <row r="65" spans="1:52">
      <c r="A65">
        <f>Grades!A65</f>
        <v>0</v>
      </c>
      <c r="B65">
        <f>Grades!B65</f>
        <v>0</v>
      </c>
      <c r="C65" s="12">
        <f>Grades!C65</f>
        <v>0</v>
      </c>
      <c r="D65" s="13">
        <f t="shared" si="1"/>
        <v>0</v>
      </c>
      <c r="E65" s="13"/>
      <c r="F65" s="13"/>
      <c r="G65" s="13"/>
      <c r="H65" s="13"/>
      <c r="I65" s="13"/>
      <c r="J65" s="13"/>
      <c r="K65" s="13"/>
      <c r="L65" s="13"/>
      <c r="M65" s="13"/>
      <c r="N65" s="13"/>
      <c r="O65" s="13"/>
      <c r="P65" s="13"/>
      <c r="Q65" s="13"/>
      <c r="R65" s="13"/>
      <c r="S65" s="13"/>
      <c r="T65" s="13"/>
      <c r="U65" s="13"/>
      <c r="V65" s="13"/>
      <c r="W65" s="13"/>
      <c r="X65" s="13"/>
      <c r="Y65" s="13"/>
      <c r="Z65" s="13"/>
      <c r="AB65" s="13">
        <f t="shared" si="2"/>
        <v>0</v>
      </c>
      <c r="AC65" s="13">
        <f t="shared" si="3"/>
        <v>0</v>
      </c>
      <c r="AD65" s="13">
        <f t="shared" si="4"/>
        <v>0</v>
      </c>
      <c r="AE65" s="13">
        <f t="shared" si="5"/>
        <v>0</v>
      </c>
      <c r="AF65" s="13">
        <f t="shared" si="6"/>
        <v>0</v>
      </c>
      <c r="AG65" s="13">
        <f t="shared" si="7"/>
        <v>0</v>
      </c>
      <c r="AH65" s="13">
        <f t="shared" si="8"/>
        <v>0</v>
      </c>
      <c r="AI65" s="13">
        <f t="shared" si="9"/>
        <v>0</v>
      </c>
      <c r="AJ65" s="13">
        <f t="shared" si="10"/>
        <v>0</v>
      </c>
      <c r="AK65" s="13">
        <f t="shared" si="11"/>
        <v>0</v>
      </c>
      <c r="AL65" s="13">
        <f t="shared" si="12"/>
        <v>0</v>
      </c>
      <c r="AM65" s="13">
        <f t="shared" si="13"/>
        <v>0</v>
      </c>
      <c r="AO65" s="14">
        <f t="shared" si="17"/>
        <v>0</v>
      </c>
      <c r="AP65" s="14">
        <f t="shared" si="16"/>
        <v>0</v>
      </c>
      <c r="AQ65" s="14">
        <f t="shared" si="16"/>
        <v>0</v>
      </c>
      <c r="AR65" s="14">
        <f t="shared" si="16"/>
        <v>0</v>
      </c>
      <c r="AS65" s="14">
        <f t="shared" si="16"/>
        <v>0</v>
      </c>
      <c r="AT65" s="14">
        <f t="shared" si="16"/>
        <v>0</v>
      </c>
      <c r="AU65" s="14">
        <f t="shared" si="16"/>
        <v>0</v>
      </c>
      <c r="AV65" s="14">
        <f t="shared" si="16"/>
        <v>0</v>
      </c>
      <c r="AW65" s="14">
        <f t="shared" si="16"/>
        <v>0</v>
      </c>
      <c r="AX65" s="14">
        <f t="shared" si="16"/>
        <v>0</v>
      </c>
      <c r="AY65" s="14">
        <f t="shared" si="16"/>
        <v>0</v>
      </c>
      <c r="AZ65" s="14">
        <f t="shared" si="16"/>
        <v>0</v>
      </c>
    </row>
    <row r="66" spans="1:52">
      <c r="A66">
        <f>Grades!A66</f>
        <v>0</v>
      </c>
      <c r="B66">
        <f>Grades!B66</f>
        <v>0</v>
      </c>
      <c r="C66" s="12">
        <f>Grades!C66</f>
        <v>0</v>
      </c>
      <c r="D66" s="13">
        <f t="shared" si="1"/>
        <v>0</v>
      </c>
      <c r="E66" s="13"/>
      <c r="F66" s="13"/>
      <c r="G66" s="13"/>
      <c r="H66" s="13"/>
      <c r="I66" s="13"/>
      <c r="J66" s="13"/>
      <c r="K66" s="13"/>
      <c r="L66" s="13"/>
      <c r="M66" s="13"/>
      <c r="N66" s="13"/>
      <c r="O66" s="13"/>
      <c r="P66" s="13"/>
      <c r="Q66" s="13"/>
      <c r="R66" s="13"/>
      <c r="S66" s="13"/>
      <c r="T66" s="13"/>
      <c r="U66" s="13"/>
      <c r="V66" s="13"/>
      <c r="W66" s="13"/>
      <c r="X66" s="13"/>
      <c r="Y66" s="13"/>
      <c r="Z66" s="13"/>
      <c r="AB66" s="13">
        <f t="shared" si="2"/>
        <v>0</v>
      </c>
      <c r="AC66" s="13">
        <f t="shared" si="3"/>
        <v>0</v>
      </c>
      <c r="AD66" s="13">
        <f t="shared" si="4"/>
        <v>0</v>
      </c>
      <c r="AE66" s="13">
        <f t="shared" si="5"/>
        <v>0</v>
      </c>
      <c r="AF66" s="13">
        <f t="shared" si="6"/>
        <v>0</v>
      </c>
      <c r="AG66" s="13">
        <f t="shared" si="7"/>
        <v>0</v>
      </c>
      <c r="AH66" s="13">
        <f t="shared" si="8"/>
        <v>0</v>
      </c>
      <c r="AI66" s="13">
        <f t="shared" si="9"/>
        <v>0</v>
      </c>
      <c r="AJ66" s="13">
        <f t="shared" si="10"/>
        <v>0</v>
      </c>
      <c r="AK66" s="13">
        <f t="shared" si="11"/>
        <v>0</v>
      </c>
      <c r="AL66" s="13">
        <f t="shared" si="12"/>
        <v>0</v>
      </c>
      <c r="AM66" s="13">
        <f t="shared" si="13"/>
        <v>0</v>
      </c>
      <c r="AO66" s="14">
        <f t="shared" si="17"/>
        <v>0</v>
      </c>
      <c r="AP66" s="14">
        <f t="shared" si="16"/>
        <v>0</v>
      </c>
      <c r="AQ66" s="14">
        <f t="shared" si="16"/>
        <v>0</v>
      </c>
      <c r="AR66" s="14">
        <f t="shared" si="16"/>
        <v>0</v>
      </c>
      <c r="AS66" s="14">
        <f t="shared" si="16"/>
        <v>0</v>
      </c>
      <c r="AT66" s="14">
        <f t="shared" si="16"/>
        <v>0</v>
      </c>
      <c r="AU66" s="14">
        <f t="shared" si="16"/>
        <v>0</v>
      </c>
      <c r="AV66" s="14">
        <f t="shared" si="16"/>
        <v>0</v>
      </c>
      <c r="AW66" s="14">
        <f t="shared" si="16"/>
        <v>0</v>
      </c>
      <c r="AX66" s="14">
        <f t="shared" si="16"/>
        <v>0</v>
      </c>
      <c r="AY66" s="14">
        <f t="shared" si="16"/>
        <v>0</v>
      </c>
      <c r="AZ66" s="14">
        <f t="shared" si="16"/>
        <v>0</v>
      </c>
    </row>
    <row r="67" spans="1:52">
      <c r="A67">
        <f>Grades!A67</f>
        <v>0</v>
      </c>
      <c r="B67">
        <f>Grades!B67</f>
        <v>0</v>
      </c>
      <c r="C67" s="12">
        <f>Grades!C67</f>
        <v>0</v>
      </c>
      <c r="D67" s="13">
        <f t="shared" si="1"/>
        <v>0</v>
      </c>
      <c r="E67" s="13"/>
      <c r="F67" s="13"/>
      <c r="G67" s="13"/>
      <c r="H67" s="13"/>
      <c r="I67" s="13"/>
      <c r="J67" s="13"/>
      <c r="K67" s="13"/>
      <c r="L67" s="13"/>
      <c r="M67" s="13"/>
      <c r="N67" s="13"/>
      <c r="O67" s="13"/>
      <c r="P67" s="13"/>
      <c r="Q67" s="13"/>
      <c r="R67" s="13"/>
      <c r="S67" s="13"/>
      <c r="T67" s="13"/>
      <c r="U67" s="13"/>
      <c r="V67" s="13"/>
      <c r="W67" s="13"/>
      <c r="X67" s="13"/>
      <c r="Y67" s="13"/>
      <c r="Z67" s="13"/>
      <c r="AB67" s="13">
        <f t="shared" si="2"/>
        <v>0</v>
      </c>
      <c r="AC67" s="13">
        <f t="shared" si="3"/>
        <v>0</v>
      </c>
      <c r="AD67" s="13">
        <f t="shared" si="4"/>
        <v>0</v>
      </c>
      <c r="AE67" s="13">
        <f t="shared" si="5"/>
        <v>0</v>
      </c>
      <c r="AF67" s="13">
        <f t="shared" si="6"/>
        <v>0</v>
      </c>
      <c r="AG67" s="13">
        <f t="shared" si="7"/>
        <v>0</v>
      </c>
      <c r="AH67" s="13">
        <f t="shared" si="8"/>
        <v>0</v>
      </c>
      <c r="AI67" s="13">
        <f t="shared" si="9"/>
        <v>0</v>
      </c>
      <c r="AJ67" s="13">
        <f t="shared" si="10"/>
        <v>0</v>
      </c>
      <c r="AK67" s="13">
        <f t="shared" si="11"/>
        <v>0</v>
      </c>
      <c r="AL67" s="13">
        <f t="shared" si="12"/>
        <v>0</v>
      </c>
      <c r="AM67" s="13">
        <f t="shared" si="13"/>
        <v>0</v>
      </c>
      <c r="AO67" s="14">
        <f t="shared" si="17"/>
        <v>0</v>
      </c>
      <c r="AP67" s="14">
        <f t="shared" si="16"/>
        <v>0</v>
      </c>
      <c r="AQ67" s="14">
        <f t="shared" si="16"/>
        <v>0</v>
      </c>
      <c r="AR67" s="14">
        <f t="shared" si="16"/>
        <v>0</v>
      </c>
      <c r="AS67" s="14">
        <f t="shared" si="16"/>
        <v>0</v>
      </c>
      <c r="AT67" s="14">
        <f t="shared" si="16"/>
        <v>0</v>
      </c>
      <c r="AU67" s="14">
        <f t="shared" si="16"/>
        <v>0</v>
      </c>
      <c r="AV67" s="14">
        <f t="shared" si="16"/>
        <v>0</v>
      </c>
      <c r="AW67" s="14">
        <f t="shared" si="16"/>
        <v>0</v>
      </c>
      <c r="AX67" s="14">
        <f t="shared" si="16"/>
        <v>0</v>
      </c>
      <c r="AY67" s="14">
        <f t="shared" si="16"/>
        <v>0</v>
      </c>
      <c r="AZ67" s="14">
        <f t="shared" si="16"/>
        <v>0</v>
      </c>
    </row>
    <row r="68" spans="1:52">
      <c r="A68">
        <f>Grades!A68</f>
        <v>0</v>
      </c>
      <c r="B68">
        <f>Grades!B68</f>
        <v>0</v>
      </c>
      <c r="C68" s="12">
        <f>Grades!C68</f>
        <v>0</v>
      </c>
      <c r="D68" s="13">
        <f t="shared" si="1"/>
        <v>0</v>
      </c>
      <c r="E68" s="13"/>
      <c r="F68" s="13"/>
      <c r="G68" s="13"/>
      <c r="H68" s="13"/>
      <c r="I68" s="13"/>
      <c r="J68" s="13"/>
      <c r="K68" s="13"/>
      <c r="L68" s="13"/>
      <c r="M68" s="13"/>
      <c r="N68" s="13"/>
      <c r="O68" s="13"/>
      <c r="P68" s="13"/>
      <c r="Q68" s="13"/>
      <c r="R68" s="13"/>
      <c r="S68" s="13"/>
      <c r="T68" s="13"/>
      <c r="U68" s="13"/>
      <c r="V68" s="13"/>
      <c r="W68" s="13"/>
      <c r="X68" s="13"/>
      <c r="Y68" s="13"/>
      <c r="Z68" s="13"/>
      <c r="AB68" s="13">
        <f t="shared" si="2"/>
        <v>0</v>
      </c>
      <c r="AC68" s="13">
        <f t="shared" si="3"/>
        <v>0</v>
      </c>
      <c r="AD68" s="13">
        <f t="shared" si="4"/>
        <v>0</v>
      </c>
      <c r="AE68" s="13">
        <f t="shared" si="5"/>
        <v>0</v>
      </c>
      <c r="AF68" s="13">
        <f t="shared" si="6"/>
        <v>0</v>
      </c>
      <c r="AG68" s="13">
        <f t="shared" si="7"/>
        <v>0</v>
      </c>
      <c r="AH68" s="13">
        <f t="shared" si="8"/>
        <v>0</v>
      </c>
      <c r="AI68" s="13">
        <f t="shared" si="9"/>
        <v>0</v>
      </c>
      <c r="AJ68" s="13">
        <f t="shared" si="10"/>
        <v>0</v>
      </c>
      <c r="AK68" s="13">
        <f t="shared" si="11"/>
        <v>0</v>
      </c>
      <c r="AL68" s="13">
        <f t="shared" si="12"/>
        <v>0</v>
      </c>
      <c r="AM68" s="13">
        <f t="shared" si="13"/>
        <v>0</v>
      </c>
      <c r="AO68" s="14">
        <f t="shared" si="17"/>
        <v>0</v>
      </c>
      <c r="AP68" s="14">
        <f t="shared" si="16"/>
        <v>0</v>
      </c>
      <c r="AQ68" s="14">
        <f t="shared" si="16"/>
        <v>0</v>
      </c>
      <c r="AR68" s="14">
        <f t="shared" si="16"/>
        <v>0</v>
      </c>
      <c r="AS68" s="14">
        <f t="shared" si="16"/>
        <v>0</v>
      </c>
      <c r="AT68" s="14">
        <f t="shared" si="16"/>
        <v>0</v>
      </c>
      <c r="AU68" s="14">
        <f t="shared" si="16"/>
        <v>0</v>
      </c>
      <c r="AV68" s="14">
        <f t="shared" si="16"/>
        <v>0</v>
      </c>
      <c r="AW68" s="14">
        <f t="shared" si="16"/>
        <v>0</v>
      </c>
      <c r="AX68" s="14">
        <f t="shared" si="16"/>
        <v>0</v>
      </c>
      <c r="AY68" s="14">
        <f t="shared" si="16"/>
        <v>0</v>
      </c>
      <c r="AZ68" s="14">
        <f t="shared" si="16"/>
        <v>0</v>
      </c>
    </row>
    <row r="69" spans="1:52">
      <c r="A69">
        <f>Grades!A69</f>
        <v>0</v>
      </c>
      <c r="B69">
        <f>Grades!B69</f>
        <v>0</v>
      </c>
      <c r="C69" s="12">
        <f>Grades!C69</f>
        <v>0</v>
      </c>
      <c r="D69" s="13">
        <f t="shared" si="1"/>
        <v>0</v>
      </c>
      <c r="E69" s="13"/>
      <c r="F69" s="13"/>
      <c r="G69" s="13"/>
      <c r="H69" s="13"/>
      <c r="I69" s="13"/>
      <c r="J69" s="13"/>
      <c r="K69" s="13"/>
      <c r="L69" s="13"/>
      <c r="M69" s="13"/>
      <c r="N69" s="13"/>
      <c r="O69" s="13"/>
      <c r="P69" s="13"/>
      <c r="Q69" s="13"/>
      <c r="R69" s="13"/>
      <c r="S69" s="13"/>
      <c r="T69" s="13"/>
      <c r="U69" s="13"/>
      <c r="V69" s="13"/>
      <c r="W69" s="13"/>
      <c r="X69" s="13"/>
      <c r="Y69" s="13"/>
      <c r="Z69" s="13"/>
      <c r="AB69" s="13">
        <f t="shared" si="2"/>
        <v>0</v>
      </c>
      <c r="AC69" s="13">
        <f t="shared" si="3"/>
        <v>0</v>
      </c>
      <c r="AD69" s="13">
        <f t="shared" si="4"/>
        <v>0</v>
      </c>
      <c r="AE69" s="13">
        <f t="shared" si="5"/>
        <v>0</v>
      </c>
      <c r="AF69" s="13">
        <f t="shared" si="6"/>
        <v>0</v>
      </c>
      <c r="AG69" s="13">
        <f t="shared" si="7"/>
        <v>0</v>
      </c>
      <c r="AH69" s="13">
        <f t="shared" si="8"/>
        <v>0</v>
      </c>
      <c r="AI69" s="13">
        <f t="shared" si="9"/>
        <v>0</v>
      </c>
      <c r="AJ69" s="13">
        <f t="shared" si="10"/>
        <v>0</v>
      </c>
      <c r="AK69" s="13">
        <f t="shared" si="11"/>
        <v>0</v>
      </c>
      <c r="AL69" s="13">
        <f t="shared" si="12"/>
        <v>0</v>
      </c>
      <c r="AM69" s="13">
        <f t="shared" si="13"/>
        <v>0</v>
      </c>
      <c r="AO69" s="14">
        <f t="shared" si="17"/>
        <v>0</v>
      </c>
      <c r="AP69" s="14">
        <f t="shared" si="16"/>
        <v>0</v>
      </c>
      <c r="AQ69" s="14">
        <f t="shared" si="16"/>
        <v>0</v>
      </c>
      <c r="AR69" s="14">
        <f t="shared" ref="AR69:AZ97" si="18">IF(AE$9&gt;0,AE69/AE$9,0)</f>
        <v>0</v>
      </c>
      <c r="AS69" s="14">
        <f t="shared" si="18"/>
        <v>0</v>
      </c>
      <c r="AT69" s="14">
        <f t="shared" si="18"/>
        <v>0</v>
      </c>
      <c r="AU69" s="14">
        <f t="shared" si="18"/>
        <v>0</v>
      </c>
      <c r="AV69" s="14">
        <f t="shared" si="18"/>
        <v>0</v>
      </c>
      <c r="AW69" s="14">
        <f t="shared" si="18"/>
        <v>0</v>
      </c>
      <c r="AX69" s="14">
        <f t="shared" si="18"/>
        <v>0</v>
      </c>
      <c r="AY69" s="14">
        <f t="shared" si="18"/>
        <v>0</v>
      </c>
      <c r="AZ69" s="14">
        <f t="shared" si="18"/>
        <v>0</v>
      </c>
    </row>
    <row r="70" spans="1:52">
      <c r="A70">
        <f>Grades!A70</f>
        <v>0</v>
      </c>
      <c r="B70">
        <f>Grades!B70</f>
        <v>0</v>
      </c>
      <c r="C70" s="12">
        <f>Grades!C70</f>
        <v>0</v>
      </c>
      <c r="D70" s="13">
        <f t="shared" si="1"/>
        <v>0</v>
      </c>
      <c r="E70" s="13"/>
      <c r="F70" s="13"/>
      <c r="G70" s="13"/>
      <c r="H70" s="13"/>
      <c r="I70" s="13"/>
      <c r="J70" s="13"/>
      <c r="K70" s="13"/>
      <c r="L70" s="13"/>
      <c r="M70" s="13"/>
      <c r="N70" s="13"/>
      <c r="O70" s="13"/>
      <c r="P70" s="13"/>
      <c r="Q70" s="13"/>
      <c r="R70" s="13"/>
      <c r="S70" s="13"/>
      <c r="T70" s="13"/>
      <c r="U70" s="13"/>
      <c r="V70" s="13"/>
      <c r="W70" s="13"/>
      <c r="X70" s="13"/>
      <c r="Y70" s="13"/>
      <c r="Z70" s="13"/>
      <c r="AB70" s="13">
        <f t="shared" si="2"/>
        <v>0</v>
      </c>
      <c r="AC70" s="13">
        <f t="shared" si="3"/>
        <v>0</v>
      </c>
      <c r="AD70" s="13">
        <f t="shared" si="4"/>
        <v>0</v>
      </c>
      <c r="AE70" s="13">
        <f t="shared" si="5"/>
        <v>0</v>
      </c>
      <c r="AF70" s="13">
        <f t="shared" si="6"/>
        <v>0</v>
      </c>
      <c r="AG70" s="13">
        <f t="shared" si="7"/>
        <v>0</v>
      </c>
      <c r="AH70" s="13">
        <f t="shared" si="8"/>
        <v>0</v>
      </c>
      <c r="AI70" s="13">
        <f t="shared" si="9"/>
        <v>0</v>
      </c>
      <c r="AJ70" s="13">
        <f t="shared" si="10"/>
        <v>0</v>
      </c>
      <c r="AK70" s="13">
        <f t="shared" si="11"/>
        <v>0</v>
      </c>
      <c r="AL70" s="13">
        <f t="shared" si="12"/>
        <v>0</v>
      </c>
      <c r="AM70" s="13">
        <f t="shared" si="13"/>
        <v>0</v>
      </c>
      <c r="AO70" s="14">
        <f t="shared" si="17"/>
        <v>0</v>
      </c>
      <c r="AP70" s="14">
        <f t="shared" si="17"/>
        <v>0</v>
      </c>
      <c r="AQ70" s="14">
        <f t="shared" si="17"/>
        <v>0</v>
      </c>
      <c r="AR70" s="14">
        <f t="shared" si="18"/>
        <v>0</v>
      </c>
      <c r="AS70" s="14">
        <f t="shared" si="18"/>
        <v>0</v>
      </c>
      <c r="AT70" s="14">
        <f t="shared" si="18"/>
        <v>0</v>
      </c>
      <c r="AU70" s="14">
        <f t="shared" si="18"/>
        <v>0</v>
      </c>
      <c r="AV70" s="14">
        <f t="shared" si="18"/>
        <v>0</v>
      </c>
      <c r="AW70" s="14">
        <f t="shared" si="18"/>
        <v>0</v>
      </c>
      <c r="AX70" s="14">
        <f t="shared" si="18"/>
        <v>0</v>
      </c>
      <c r="AY70" s="14">
        <f t="shared" si="18"/>
        <v>0</v>
      </c>
      <c r="AZ70" s="14">
        <f t="shared" si="18"/>
        <v>0</v>
      </c>
    </row>
    <row r="71" spans="1:52">
      <c r="A71">
        <f>Grades!A71</f>
        <v>0</v>
      </c>
      <c r="B71">
        <f>Grades!B71</f>
        <v>0</v>
      </c>
      <c r="C71" s="12">
        <f>Grades!C71</f>
        <v>0</v>
      </c>
      <c r="D71" s="13">
        <f t="shared" si="1"/>
        <v>0</v>
      </c>
      <c r="E71" s="13"/>
      <c r="F71" s="13"/>
      <c r="G71" s="13"/>
      <c r="H71" s="13"/>
      <c r="I71" s="13"/>
      <c r="J71" s="13"/>
      <c r="K71" s="13"/>
      <c r="L71" s="13"/>
      <c r="M71" s="13"/>
      <c r="N71" s="13"/>
      <c r="O71" s="13"/>
      <c r="P71" s="13"/>
      <c r="Q71" s="13"/>
      <c r="R71" s="13"/>
      <c r="S71" s="13"/>
      <c r="T71" s="13"/>
      <c r="U71" s="13"/>
      <c r="V71" s="13"/>
      <c r="W71" s="13"/>
      <c r="X71" s="13"/>
      <c r="Y71" s="13"/>
      <c r="Z71" s="13"/>
      <c r="AB71" s="13">
        <f t="shared" si="2"/>
        <v>0</v>
      </c>
      <c r="AC71" s="13">
        <f t="shared" si="3"/>
        <v>0</v>
      </c>
      <c r="AD71" s="13">
        <f t="shared" si="4"/>
        <v>0</v>
      </c>
      <c r="AE71" s="13">
        <f t="shared" si="5"/>
        <v>0</v>
      </c>
      <c r="AF71" s="13">
        <f t="shared" si="6"/>
        <v>0</v>
      </c>
      <c r="AG71" s="13">
        <f t="shared" si="7"/>
        <v>0</v>
      </c>
      <c r="AH71" s="13">
        <f t="shared" si="8"/>
        <v>0</v>
      </c>
      <c r="AI71" s="13">
        <f t="shared" si="9"/>
        <v>0</v>
      </c>
      <c r="AJ71" s="13">
        <f t="shared" si="10"/>
        <v>0</v>
      </c>
      <c r="AK71" s="13">
        <f t="shared" si="11"/>
        <v>0</v>
      </c>
      <c r="AL71" s="13">
        <f t="shared" si="12"/>
        <v>0</v>
      </c>
      <c r="AM71" s="13">
        <f t="shared" si="13"/>
        <v>0</v>
      </c>
      <c r="AO71" s="14">
        <f t="shared" si="17"/>
        <v>0</v>
      </c>
      <c r="AP71" s="14">
        <f t="shared" si="17"/>
        <v>0</v>
      </c>
      <c r="AQ71" s="14">
        <f t="shared" si="17"/>
        <v>0</v>
      </c>
      <c r="AR71" s="14">
        <f t="shared" si="18"/>
        <v>0</v>
      </c>
      <c r="AS71" s="14">
        <f t="shared" si="18"/>
        <v>0</v>
      </c>
      <c r="AT71" s="14">
        <f t="shared" si="18"/>
        <v>0</v>
      </c>
      <c r="AU71" s="14">
        <f t="shared" si="18"/>
        <v>0</v>
      </c>
      <c r="AV71" s="14">
        <f t="shared" si="18"/>
        <v>0</v>
      </c>
      <c r="AW71" s="14">
        <f t="shared" si="18"/>
        <v>0</v>
      </c>
      <c r="AX71" s="14">
        <f t="shared" si="18"/>
        <v>0</v>
      </c>
      <c r="AY71" s="14">
        <f t="shared" si="18"/>
        <v>0</v>
      </c>
      <c r="AZ71" s="14">
        <f t="shared" si="18"/>
        <v>0</v>
      </c>
    </row>
    <row r="72" spans="1:52">
      <c r="A72">
        <f>Grades!A72</f>
        <v>0</v>
      </c>
      <c r="B72">
        <f>Grades!B72</f>
        <v>0</v>
      </c>
      <c r="C72" s="12">
        <f>Grades!C72</f>
        <v>0</v>
      </c>
      <c r="D72" s="13">
        <f t="shared" si="1"/>
        <v>0</v>
      </c>
      <c r="E72" s="13"/>
      <c r="F72" s="13"/>
      <c r="G72" s="13"/>
      <c r="H72" s="13"/>
      <c r="I72" s="13"/>
      <c r="J72" s="13"/>
      <c r="K72" s="13"/>
      <c r="L72" s="13"/>
      <c r="M72" s="13"/>
      <c r="N72" s="13"/>
      <c r="O72" s="13"/>
      <c r="P72" s="13"/>
      <c r="Q72" s="13"/>
      <c r="R72" s="13"/>
      <c r="S72" s="13"/>
      <c r="T72" s="13"/>
      <c r="U72" s="13"/>
      <c r="V72" s="13"/>
      <c r="W72" s="13"/>
      <c r="X72" s="13"/>
      <c r="Y72" s="13"/>
      <c r="Z72" s="13"/>
      <c r="AB72" s="13">
        <f t="shared" si="2"/>
        <v>0</v>
      </c>
      <c r="AC72" s="13">
        <f t="shared" si="3"/>
        <v>0</v>
      </c>
      <c r="AD72" s="13">
        <f t="shared" si="4"/>
        <v>0</v>
      </c>
      <c r="AE72" s="13">
        <f t="shared" si="5"/>
        <v>0</v>
      </c>
      <c r="AF72" s="13">
        <f t="shared" si="6"/>
        <v>0</v>
      </c>
      <c r="AG72" s="13">
        <f t="shared" si="7"/>
        <v>0</v>
      </c>
      <c r="AH72" s="13">
        <f t="shared" si="8"/>
        <v>0</v>
      </c>
      <c r="AI72" s="13">
        <f t="shared" si="9"/>
        <v>0</v>
      </c>
      <c r="AJ72" s="13">
        <f t="shared" si="10"/>
        <v>0</v>
      </c>
      <c r="AK72" s="13">
        <f t="shared" si="11"/>
        <v>0</v>
      </c>
      <c r="AL72" s="13">
        <f t="shared" si="12"/>
        <v>0</v>
      </c>
      <c r="AM72" s="13">
        <f t="shared" si="13"/>
        <v>0</v>
      </c>
      <c r="AO72" s="14">
        <f t="shared" si="17"/>
        <v>0</v>
      </c>
      <c r="AP72" s="14">
        <f t="shared" si="17"/>
        <v>0</v>
      </c>
      <c r="AQ72" s="14">
        <f t="shared" si="17"/>
        <v>0</v>
      </c>
      <c r="AR72" s="14">
        <f t="shared" si="18"/>
        <v>0</v>
      </c>
      <c r="AS72" s="14">
        <f t="shared" si="18"/>
        <v>0</v>
      </c>
      <c r="AT72" s="14">
        <f t="shared" si="18"/>
        <v>0</v>
      </c>
      <c r="AU72" s="14">
        <f t="shared" si="18"/>
        <v>0</v>
      </c>
      <c r="AV72" s="14">
        <f t="shared" si="18"/>
        <v>0</v>
      </c>
      <c r="AW72" s="14">
        <f t="shared" si="18"/>
        <v>0</v>
      </c>
      <c r="AX72" s="14">
        <f t="shared" si="18"/>
        <v>0</v>
      </c>
      <c r="AY72" s="14">
        <f t="shared" si="18"/>
        <v>0</v>
      </c>
      <c r="AZ72" s="14">
        <f t="shared" si="18"/>
        <v>0</v>
      </c>
    </row>
    <row r="73" spans="1:52">
      <c r="A73">
        <f>Grades!A73</f>
        <v>0</v>
      </c>
      <c r="B73">
        <f>Grades!B73</f>
        <v>0</v>
      </c>
      <c r="C73" s="12">
        <f>Grades!C73</f>
        <v>0</v>
      </c>
      <c r="D73" s="13">
        <f t="shared" si="1"/>
        <v>0</v>
      </c>
      <c r="E73" s="13"/>
      <c r="F73" s="13"/>
      <c r="G73" s="13"/>
      <c r="H73" s="13"/>
      <c r="I73" s="13"/>
      <c r="J73" s="13"/>
      <c r="K73" s="13"/>
      <c r="L73" s="13"/>
      <c r="M73" s="13"/>
      <c r="N73" s="13"/>
      <c r="O73" s="13"/>
      <c r="P73" s="13"/>
      <c r="Q73" s="13"/>
      <c r="R73" s="13"/>
      <c r="S73" s="13"/>
      <c r="T73" s="13"/>
      <c r="U73" s="13"/>
      <c r="V73" s="13"/>
      <c r="W73" s="13"/>
      <c r="X73" s="13"/>
      <c r="Y73" s="13"/>
      <c r="Z73" s="13"/>
      <c r="AB73" s="13">
        <f t="shared" si="2"/>
        <v>0</v>
      </c>
      <c r="AC73" s="13">
        <f t="shared" si="3"/>
        <v>0</v>
      </c>
      <c r="AD73" s="13">
        <f t="shared" si="4"/>
        <v>0</v>
      </c>
      <c r="AE73" s="13">
        <f t="shared" si="5"/>
        <v>0</v>
      </c>
      <c r="AF73" s="13">
        <f t="shared" si="6"/>
        <v>0</v>
      </c>
      <c r="AG73" s="13">
        <f t="shared" si="7"/>
        <v>0</v>
      </c>
      <c r="AH73" s="13">
        <f t="shared" si="8"/>
        <v>0</v>
      </c>
      <c r="AI73" s="13">
        <f t="shared" si="9"/>
        <v>0</v>
      </c>
      <c r="AJ73" s="13">
        <f t="shared" si="10"/>
        <v>0</v>
      </c>
      <c r="AK73" s="13">
        <f t="shared" si="11"/>
        <v>0</v>
      </c>
      <c r="AL73" s="13">
        <f t="shared" si="12"/>
        <v>0</v>
      </c>
      <c r="AM73" s="13">
        <f t="shared" si="13"/>
        <v>0</v>
      </c>
      <c r="AO73" s="14">
        <f t="shared" si="17"/>
        <v>0</v>
      </c>
      <c r="AP73" s="14">
        <f t="shared" si="17"/>
        <v>0</v>
      </c>
      <c r="AQ73" s="14">
        <f t="shared" si="17"/>
        <v>0</v>
      </c>
      <c r="AR73" s="14">
        <f t="shared" si="18"/>
        <v>0</v>
      </c>
      <c r="AS73" s="14">
        <f t="shared" si="18"/>
        <v>0</v>
      </c>
      <c r="AT73" s="14">
        <f t="shared" si="18"/>
        <v>0</v>
      </c>
      <c r="AU73" s="14">
        <f t="shared" si="18"/>
        <v>0</v>
      </c>
      <c r="AV73" s="14">
        <f t="shared" si="18"/>
        <v>0</v>
      </c>
      <c r="AW73" s="14">
        <f t="shared" si="18"/>
        <v>0</v>
      </c>
      <c r="AX73" s="14">
        <f t="shared" si="18"/>
        <v>0</v>
      </c>
      <c r="AY73" s="14">
        <f t="shared" si="18"/>
        <v>0</v>
      </c>
      <c r="AZ73" s="14">
        <f t="shared" si="18"/>
        <v>0</v>
      </c>
    </row>
    <row r="74" spans="1:52">
      <c r="A74">
        <f>Grades!A74</f>
        <v>0</v>
      </c>
      <c r="B74">
        <f>Grades!B74</f>
        <v>0</v>
      </c>
      <c r="C74" s="12">
        <f>Grades!C74</f>
        <v>0</v>
      </c>
      <c r="D74" s="13">
        <f t="shared" si="1"/>
        <v>0</v>
      </c>
      <c r="E74" s="13"/>
      <c r="F74" s="13"/>
      <c r="G74" s="13"/>
      <c r="H74" s="13"/>
      <c r="I74" s="13"/>
      <c r="J74" s="13"/>
      <c r="K74" s="13"/>
      <c r="L74" s="13"/>
      <c r="M74" s="13"/>
      <c r="N74" s="13"/>
      <c r="O74" s="13"/>
      <c r="P74" s="13"/>
      <c r="Q74" s="13"/>
      <c r="R74" s="13"/>
      <c r="S74" s="13"/>
      <c r="T74" s="13"/>
      <c r="U74" s="13"/>
      <c r="V74" s="13"/>
      <c r="W74" s="13"/>
      <c r="X74" s="13"/>
      <c r="Y74" s="13"/>
      <c r="Z74" s="13"/>
      <c r="AB74" s="13">
        <f t="shared" si="2"/>
        <v>0</v>
      </c>
      <c r="AC74" s="13">
        <f t="shared" si="3"/>
        <v>0</v>
      </c>
      <c r="AD74" s="13">
        <f t="shared" si="4"/>
        <v>0</v>
      </c>
      <c r="AE74" s="13">
        <f t="shared" si="5"/>
        <v>0</v>
      </c>
      <c r="AF74" s="13">
        <f t="shared" si="6"/>
        <v>0</v>
      </c>
      <c r="AG74" s="13">
        <f t="shared" si="7"/>
        <v>0</v>
      </c>
      <c r="AH74" s="13">
        <f t="shared" si="8"/>
        <v>0</v>
      </c>
      <c r="AI74" s="13">
        <f t="shared" si="9"/>
        <v>0</v>
      </c>
      <c r="AJ74" s="13">
        <f t="shared" si="10"/>
        <v>0</v>
      </c>
      <c r="AK74" s="13">
        <f t="shared" si="11"/>
        <v>0</v>
      </c>
      <c r="AL74" s="13">
        <f t="shared" si="12"/>
        <v>0</v>
      </c>
      <c r="AM74" s="13">
        <f t="shared" si="13"/>
        <v>0</v>
      </c>
      <c r="AO74" s="14">
        <f t="shared" si="17"/>
        <v>0</v>
      </c>
      <c r="AP74" s="14">
        <f t="shared" si="17"/>
        <v>0</v>
      </c>
      <c r="AQ74" s="14">
        <f t="shared" si="17"/>
        <v>0</v>
      </c>
      <c r="AR74" s="14">
        <f t="shared" si="18"/>
        <v>0</v>
      </c>
      <c r="AS74" s="14">
        <f t="shared" si="18"/>
        <v>0</v>
      </c>
      <c r="AT74" s="14">
        <f t="shared" si="18"/>
        <v>0</v>
      </c>
      <c r="AU74" s="14">
        <f t="shared" si="18"/>
        <v>0</v>
      </c>
      <c r="AV74" s="14">
        <f t="shared" si="18"/>
        <v>0</v>
      </c>
      <c r="AW74" s="14">
        <f t="shared" si="18"/>
        <v>0</v>
      </c>
      <c r="AX74" s="14">
        <f t="shared" si="18"/>
        <v>0</v>
      </c>
      <c r="AY74" s="14">
        <f t="shared" si="18"/>
        <v>0</v>
      </c>
      <c r="AZ74" s="14">
        <f t="shared" si="18"/>
        <v>0</v>
      </c>
    </row>
    <row r="75" spans="1:52">
      <c r="A75">
        <f>Grades!A75</f>
        <v>0</v>
      </c>
      <c r="B75">
        <f>Grades!B75</f>
        <v>0</v>
      </c>
      <c r="C75" s="12">
        <f>Grades!C75</f>
        <v>0</v>
      </c>
      <c r="D75" s="13">
        <f t="shared" ref="D75:D100" si="19">SUM(E75:Z75)</f>
        <v>0</v>
      </c>
      <c r="E75" s="13"/>
      <c r="F75" s="13"/>
      <c r="G75" s="13"/>
      <c r="H75" s="13"/>
      <c r="I75" s="13"/>
      <c r="J75" s="13"/>
      <c r="K75" s="13"/>
      <c r="L75" s="13"/>
      <c r="M75" s="13"/>
      <c r="N75" s="13"/>
      <c r="O75" s="13"/>
      <c r="P75" s="13"/>
      <c r="Q75" s="13"/>
      <c r="R75" s="13"/>
      <c r="S75" s="13"/>
      <c r="T75" s="13"/>
      <c r="U75" s="13"/>
      <c r="V75" s="13"/>
      <c r="W75" s="13"/>
      <c r="X75" s="13"/>
      <c r="Y75" s="13"/>
      <c r="Z75" s="13"/>
      <c r="AB75" s="13">
        <f t="shared" ref="AB75:AB100" si="20">SUMIF($E$9:$Z$9,"3.1.1 ",$E75:$Z75)</f>
        <v>0</v>
      </c>
      <c r="AC75" s="13">
        <f t="shared" ref="AC75:AC100" si="21">SUMIF($E$9:$Z$9,"3.1.2 ",$E75:$Z75)</f>
        <v>0</v>
      </c>
      <c r="AD75" s="13">
        <f t="shared" ref="AD75:AD100" si="22">SUMIF($E$9:$Z$9,"3.1.3 ",$E75:$Z75)</f>
        <v>0</v>
      </c>
      <c r="AE75" s="13">
        <f t="shared" ref="AE75:AE100" si="23">SUMIF($E$9:$Z$9,"3.1.4 ",$E75:$Z75)</f>
        <v>0</v>
      </c>
      <c r="AF75" s="13">
        <f t="shared" ref="AF75:AF100" si="24">SUMIF($E$9:$Z$9,"3.1.5 ",$E75:$Z75)</f>
        <v>0</v>
      </c>
      <c r="AG75" s="13">
        <f t="shared" ref="AG75:AG100" si="25">SUMIF($E$9:$Z$9,"3.1.6 ",$E75:$Z75)</f>
        <v>0</v>
      </c>
      <c r="AH75" s="13">
        <f t="shared" ref="AH75:AH100" si="26">SUMIF($E$9:$Z$9,"3.1.7 ",$E75:$Z75)</f>
        <v>0</v>
      </c>
      <c r="AI75" s="13">
        <f t="shared" ref="AI75:AI100" si="27">SUMIF($E$9:$Z$9,"3.1.8 ",$E75:$Z75)</f>
        <v>0</v>
      </c>
      <c r="AJ75" s="13">
        <f t="shared" ref="AJ75:AJ100" si="28">SUMIF($E$9:$Z$9,"3.1.9 ",$E75:$Z75)</f>
        <v>0</v>
      </c>
      <c r="AK75" s="13">
        <f t="shared" ref="AK75:AK100" si="29">SUMIF($E$9:$Z$9,"3.1.10",$E75:$Z75)</f>
        <v>0</v>
      </c>
      <c r="AL75" s="13">
        <f t="shared" ref="AL75:AL100" si="30">SUMIF($E$9:$Z$9,"3.1.11",$E75:$Z75)</f>
        <v>0</v>
      </c>
      <c r="AM75" s="13">
        <f t="shared" ref="AM75:AM100" si="31">SUMIF($E$9:$Z$9,"3.1.12",$E75:$Z75)</f>
        <v>0</v>
      </c>
      <c r="AO75" s="14">
        <f t="shared" si="17"/>
        <v>0</v>
      </c>
      <c r="AP75" s="14">
        <f t="shared" si="17"/>
        <v>0</v>
      </c>
      <c r="AQ75" s="14">
        <f t="shared" si="17"/>
        <v>0</v>
      </c>
      <c r="AR75" s="14">
        <f t="shared" si="18"/>
        <v>0</v>
      </c>
      <c r="AS75" s="14">
        <f t="shared" si="18"/>
        <v>0</v>
      </c>
      <c r="AT75" s="14">
        <f t="shared" si="18"/>
        <v>0</v>
      </c>
      <c r="AU75" s="14">
        <f t="shared" si="18"/>
        <v>0</v>
      </c>
      <c r="AV75" s="14">
        <f t="shared" si="18"/>
        <v>0</v>
      </c>
      <c r="AW75" s="14">
        <f t="shared" si="18"/>
        <v>0</v>
      </c>
      <c r="AX75" s="14">
        <f t="shared" si="18"/>
        <v>0</v>
      </c>
      <c r="AY75" s="14">
        <f t="shared" si="18"/>
        <v>0</v>
      </c>
      <c r="AZ75" s="14">
        <f t="shared" si="18"/>
        <v>0</v>
      </c>
    </row>
    <row r="76" spans="1:52">
      <c r="A76">
        <f>Grades!A76</f>
        <v>0</v>
      </c>
      <c r="B76">
        <f>Grades!B76</f>
        <v>0</v>
      </c>
      <c r="C76" s="12">
        <f>Grades!C76</f>
        <v>0</v>
      </c>
      <c r="D76" s="13">
        <f t="shared" si="19"/>
        <v>0</v>
      </c>
      <c r="E76" s="13"/>
      <c r="F76" s="13"/>
      <c r="G76" s="13"/>
      <c r="H76" s="13"/>
      <c r="I76" s="13"/>
      <c r="J76" s="13"/>
      <c r="K76" s="13"/>
      <c r="L76" s="13"/>
      <c r="M76" s="13"/>
      <c r="N76" s="13"/>
      <c r="O76" s="13"/>
      <c r="P76" s="13"/>
      <c r="Q76" s="13"/>
      <c r="R76" s="13"/>
      <c r="S76" s="13"/>
      <c r="T76" s="13"/>
      <c r="U76" s="13"/>
      <c r="V76" s="13"/>
      <c r="W76" s="13"/>
      <c r="X76" s="13"/>
      <c r="Y76" s="13"/>
      <c r="Z76" s="13"/>
      <c r="AB76" s="13">
        <f t="shared" si="20"/>
        <v>0</v>
      </c>
      <c r="AC76" s="13">
        <f t="shared" si="21"/>
        <v>0</v>
      </c>
      <c r="AD76" s="13">
        <f t="shared" si="22"/>
        <v>0</v>
      </c>
      <c r="AE76" s="13">
        <f t="shared" si="23"/>
        <v>0</v>
      </c>
      <c r="AF76" s="13">
        <f t="shared" si="24"/>
        <v>0</v>
      </c>
      <c r="AG76" s="13">
        <f t="shared" si="25"/>
        <v>0</v>
      </c>
      <c r="AH76" s="13">
        <f t="shared" si="26"/>
        <v>0</v>
      </c>
      <c r="AI76" s="13">
        <f t="shared" si="27"/>
        <v>0</v>
      </c>
      <c r="AJ76" s="13">
        <f t="shared" si="28"/>
        <v>0</v>
      </c>
      <c r="AK76" s="13">
        <f t="shared" si="29"/>
        <v>0</v>
      </c>
      <c r="AL76" s="13">
        <f t="shared" si="30"/>
        <v>0</v>
      </c>
      <c r="AM76" s="13">
        <f t="shared" si="31"/>
        <v>0</v>
      </c>
      <c r="AO76" s="14">
        <f t="shared" si="17"/>
        <v>0</v>
      </c>
      <c r="AP76" s="14">
        <f t="shared" si="17"/>
        <v>0</v>
      </c>
      <c r="AQ76" s="14">
        <f t="shared" si="17"/>
        <v>0</v>
      </c>
      <c r="AR76" s="14">
        <f t="shared" si="18"/>
        <v>0</v>
      </c>
      <c r="AS76" s="14">
        <f t="shared" si="18"/>
        <v>0</v>
      </c>
      <c r="AT76" s="14">
        <f t="shared" si="18"/>
        <v>0</v>
      </c>
      <c r="AU76" s="14">
        <f t="shared" si="18"/>
        <v>0</v>
      </c>
      <c r="AV76" s="14">
        <f t="shared" si="18"/>
        <v>0</v>
      </c>
      <c r="AW76" s="14">
        <f t="shared" si="18"/>
        <v>0</v>
      </c>
      <c r="AX76" s="14">
        <f t="shared" si="18"/>
        <v>0</v>
      </c>
      <c r="AY76" s="14">
        <f t="shared" si="18"/>
        <v>0</v>
      </c>
      <c r="AZ76" s="14">
        <f t="shared" si="18"/>
        <v>0</v>
      </c>
    </row>
    <row r="77" spans="1:52">
      <c r="A77">
        <f>Grades!A77</f>
        <v>0</v>
      </c>
      <c r="B77">
        <f>Grades!B77</f>
        <v>0</v>
      </c>
      <c r="C77" s="12">
        <f>Grades!C77</f>
        <v>0</v>
      </c>
      <c r="D77" s="13">
        <f t="shared" si="19"/>
        <v>0</v>
      </c>
      <c r="E77" s="13"/>
      <c r="F77" s="13"/>
      <c r="G77" s="13"/>
      <c r="H77" s="13"/>
      <c r="I77" s="13"/>
      <c r="J77" s="13"/>
      <c r="K77" s="13"/>
      <c r="L77" s="13"/>
      <c r="M77" s="13"/>
      <c r="N77" s="13"/>
      <c r="O77" s="13"/>
      <c r="P77" s="13"/>
      <c r="Q77" s="13"/>
      <c r="R77" s="13"/>
      <c r="S77" s="13"/>
      <c r="T77" s="13"/>
      <c r="U77" s="13"/>
      <c r="V77" s="13"/>
      <c r="W77" s="13"/>
      <c r="X77" s="13"/>
      <c r="Y77" s="13"/>
      <c r="Z77" s="13"/>
      <c r="AB77" s="13">
        <f t="shared" si="20"/>
        <v>0</v>
      </c>
      <c r="AC77" s="13">
        <f t="shared" si="21"/>
        <v>0</v>
      </c>
      <c r="AD77" s="13">
        <f t="shared" si="22"/>
        <v>0</v>
      </c>
      <c r="AE77" s="13">
        <f t="shared" si="23"/>
        <v>0</v>
      </c>
      <c r="AF77" s="13">
        <f t="shared" si="24"/>
        <v>0</v>
      </c>
      <c r="AG77" s="13">
        <f t="shared" si="25"/>
        <v>0</v>
      </c>
      <c r="AH77" s="13">
        <f t="shared" si="26"/>
        <v>0</v>
      </c>
      <c r="AI77" s="13">
        <f t="shared" si="27"/>
        <v>0</v>
      </c>
      <c r="AJ77" s="13">
        <f t="shared" si="28"/>
        <v>0</v>
      </c>
      <c r="AK77" s="13">
        <f t="shared" si="29"/>
        <v>0</v>
      </c>
      <c r="AL77" s="13">
        <f t="shared" si="30"/>
        <v>0</v>
      </c>
      <c r="AM77" s="13">
        <f t="shared" si="31"/>
        <v>0</v>
      </c>
      <c r="AO77" s="14">
        <f t="shared" si="17"/>
        <v>0</v>
      </c>
      <c r="AP77" s="14">
        <f t="shared" si="17"/>
        <v>0</v>
      </c>
      <c r="AQ77" s="14">
        <f t="shared" si="17"/>
        <v>0</v>
      </c>
      <c r="AR77" s="14">
        <f t="shared" si="18"/>
        <v>0</v>
      </c>
      <c r="AS77" s="14">
        <f t="shared" si="18"/>
        <v>0</v>
      </c>
      <c r="AT77" s="14">
        <f t="shared" si="18"/>
        <v>0</v>
      </c>
      <c r="AU77" s="14">
        <f t="shared" si="18"/>
        <v>0</v>
      </c>
      <c r="AV77" s="14">
        <f t="shared" si="18"/>
        <v>0</v>
      </c>
      <c r="AW77" s="14">
        <f t="shared" si="18"/>
        <v>0</v>
      </c>
      <c r="AX77" s="14">
        <f t="shared" si="18"/>
        <v>0</v>
      </c>
      <c r="AY77" s="14">
        <f t="shared" si="18"/>
        <v>0</v>
      </c>
      <c r="AZ77" s="14">
        <f t="shared" si="18"/>
        <v>0</v>
      </c>
    </row>
    <row r="78" spans="1:52">
      <c r="A78">
        <f>Grades!A78</f>
        <v>0</v>
      </c>
      <c r="B78">
        <f>Grades!B78</f>
        <v>0</v>
      </c>
      <c r="C78" s="12">
        <f>Grades!C78</f>
        <v>0</v>
      </c>
      <c r="D78" s="13">
        <f t="shared" si="19"/>
        <v>0</v>
      </c>
      <c r="E78" s="13"/>
      <c r="F78" s="13"/>
      <c r="G78" s="13"/>
      <c r="H78" s="13"/>
      <c r="I78" s="13"/>
      <c r="J78" s="13"/>
      <c r="K78" s="13"/>
      <c r="L78" s="13"/>
      <c r="M78" s="13"/>
      <c r="N78" s="13"/>
      <c r="O78" s="13"/>
      <c r="P78" s="13"/>
      <c r="Q78" s="13"/>
      <c r="R78" s="13"/>
      <c r="S78" s="13"/>
      <c r="T78" s="13"/>
      <c r="U78" s="13"/>
      <c r="V78" s="13"/>
      <c r="W78" s="13"/>
      <c r="X78" s="13"/>
      <c r="Y78" s="13"/>
      <c r="Z78" s="13"/>
      <c r="AB78" s="13">
        <f t="shared" si="20"/>
        <v>0</v>
      </c>
      <c r="AC78" s="13">
        <f t="shared" si="21"/>
        <v>0</v>
      </c>
      <c r="AD78" s="13">
        <f t="shared" si="22"/>
        <v>0</v>
      </c>
      <c r="AE78" s="13">
        <f t="shared" si="23"/>
        <v>0</v>
      </c>
      <c r="AF78" s="13">
        <f t="shared" si="24"/>
        <v>0</v>
      </c>
      <c r="AG78" s="13">
        <f t="shared" si="25"/>
        <v>0</v>
      </c>
      <c r="AH78" s="13">
        <f t="shared" si="26"/>
        <v>0</v>
      </c>
      <c r="AI78" s="13">
        <f t="shared" si="27"/>
        <v>0</v>
      </c>
      <c r="AJ78" s="13">
        <f t="shared" si="28"/>
        <v>0</v>
      </c>
      <c r="AK78" s="13">
        <f t="shared" si="29"/>
        <v>0</v>
      </c>
      <c r="AL78" s="13">
        <f t="shared" si="30"/>
        <v>0</v>
      </c>
      <c r="AM78" s="13">
        <f t="shared" si="31"/>
        <v>0</v>
      </c>
      <c r="AO78" s="14">
        <f t="shared" si="17"/>
        <v>0</v>
      </c>
      <c r="AP78" s="14">
        <f t="shared" si="17"/>
        <v>0</v>
      </c>
      <c r="AQ78" s="14">
        <f t="shared" si="17"/>
        <v>0</v>
      </c>
      <c r="AR78" s="14">
        <f t="shared" si="18"/>
        <v>0</v>
      </c>
      <c r="AS78" s="14">
        <f t="shared" si="18"/>
        <v>0</v>
      </c>
      <c r="AT78" s="14">
        <f t="shared" si="18"/>
        <v>0</v>
      </c>
      <c r="AU78" s="14">
        <f t="shared" si="18"/>
        <v>0</v>
      </c>
      <c r="AV78" s="14">
        <f t="shared" si="18"/>
        <v>0</v>
      </c>
      <c r="AW78" s="14">
        <f t="shared" si="18"/>
        <v>0</v>
      </c>
      <c r="AX78" s="14">
        <f t="shared" si="18"/>
        <v>0</v>
      </c>
      <c r="AY78" s="14">
        <f t="shared" si="18"/>
        <v>0</v>
      </c>
      <c r="AZ78" s="14">
        <f t="shared" si="18"/>
        <v>0</v>
      </c>
    </row>
    <row r="79" spans="1:52">
      <c r="A79">
        <f>Grades!A79</f>
        <v>0</v>
      </c>
      <c r="B79">
        <f>Grades!B79</f>
        <v>0</v>
      </c>
      <c r="C79" s="12">
        <f>Grades!C79</f>
        <v>0</v>
      </c>
      <c r="D79" s="13">
        <f t="shared" si="19"/>
        <v>0</v>
      </c>
      <c r="E79" s="13"/>
      <c r="F79" s="13"/>
      <c r="G79" s="13"/>
      <c r="H79" s="13"/>
      <c r="I79" s="13"/>
      <c r="J79" s="13"/>
      <c r="K79" s="13"/>
      <c r="L79" s="13"/>
      <c r="M79" s="13"/>
      <c r="N79" s="13"/>
      <c r="O79" s="13"/>
      <c r="P79" s="13"/>
      <c r="Q79" s="13"/>
      <c r="R79" s="13"/>
      <c r="S79" s="13"/>
      <c r="T79" s="13"/>
      <c r="U79" s="13"/>
      <c r="V79" s="13"/>
      <c r="W79" s="13"/>
      <c r="X79" s="13"/>
      <c r="Y79" s="13"/>
      <c r="Z79" s="13"/>
      <c r="AB79" s="13">
        <f t="shared" si="20"/>
        <v>0</v>
      </c>
      <c r="AC79" s="13">
        <f t="shared" si="21"/>
        <v>0</v>
      </c>
      <c r="AD79" s="13">
        <f t="shared" si="22"/>
        <v>0</v>
      </c>
      <c r="AE79" s="13">
        <f t="shared" si="23"/>
        <v>0</v>
      </c>
      <c r="AF79" s="13">
        <f t="shared" si="24"/>
        <v>0</v>
      </c>
      <c r="AG79" s="13">
        <f t="shared" si="25"/>
        <v>0</v>
      </c>
      <c r="AH79" s="13">
        <f t="shared" si="26"/>
        <v>0</v>
      </c>
      <c r="AI79" s="13">
        <f t="shared" si="27"/>
        <v>0</v>
      </c>
      <c r="AJ79" s="13">
        <f t="shared" si="28"/>
        <v>0</v>
      </c>
      <c r="AK79" s="13">
        <f t="shared" si="29"/>
        <v>0</v>
      </c>
      <c r="AL79" s="13">
        <f t="shared" si="30"/>
        <v>0</v>
      </c>
      <c r="AM79" s="13">
        <f t="shared" si="31"/>
        <v>0</v>
      </c>
      <c r="AO79" s="14">
        <f t="shared" si="17"/>
        <v>0</v>
      </c>
      <c r="AP79" s="14">
        <f t="shared" si="17"/>
        <v>0</v>
      </c>
      <c r="AQ79" s="14">
        <f t="shared" si="17"/>
        <v>0</v>
      </c>
      <c r="AR79" s="14">
        <f t="shared" si="18"/>
        <v>0</v>
      </c>
      <c r="AS79" s="14">
        <f t="shared" si="18"/>
        <v>0</v>
      </c>
      <c r="AT79" s="14">
        <f t="shared" si="18"/>
        <v>0</v>
      </c>
      <c r="AU79" s="14">
        <f t="shared" si="18"/>
        <v>0</v>
      </c>
      <c r="AV79" s="14">
        <f t="shared" si="18"/>
        <v>0</v>
      </c>
      <c r="AW79" s="14">
        <f t="shared" si="18"/>
        <v>0</v>
      </c>
      <c r="AX79" s="14">
        <f t="shared" si="18"/>
        <v>0</v>
      </c>
      <c r="AY79" s="14">
        <f t="shared" si="18"/>
        <v>0</v>
      </c>
      <c r="AZ79" s="14">
        <f t="shared" si="18"/>
        <v>0</v>
      </c>
    </row>
    <row r="80" spans="1:52">
      <c r="A80">
        <f>Grades!A80</f>
        <v>0</v>
      </c>
      <c r="B80">
        <f>Grades!B80</f>
        <v>0</v>
      </c>
      <c r="C80" s="12">
        <f>Grades!C80</f>
        <v>0</v>
      </c>
      <c r="D80" s="13">
        <f t="shared" si="19"/>
        <v>0</v>
      </c>
      <c r="E80" s="13"/>
      <c r="F80" s="13"/>
      <c r="G80" s="13"/>
      <c r="H80" s="13"/>
      <c r="I80" s="13"/>
      <c r="J80" s="13"/>
      <c r="K80" s="13"/>
      <c r="L80" s="13"/>
      <c r="M80" s="13"/>
      <c r="N80" s="13"/>
      <c r="O80" s="13"/>
      <c r="P80" s="13"/>
      <c r="Q80" s="13"/>
      <c r="R80" s="13"/>
      <c r="S80" s="13"/>
      <c r="T80" s="13"/>
      <c r="U80" s="13"/>
      <c r="V80" s="13"/>
      <c r="W80" s="13"/>
      <c r="X80" s="13"/>
      <c r="Y80" s="13"/>
      <c r="Z80" s="13"/>
      <c r="AB80" s="13">
        <f t="shared" si="20"/>
        <v>0</v>
      </c>
      <c r="AC80" s="13">
        <f t="shared" si="21"/>
        <v>0</v>
      </c>
      <c r="AD80" s="13">
        <f t="shared" si="22"/>
        <v>0</v>
      </c>
      <c r="AE80" s="13">
        <f t="shared" si="23"/>
        <v>0</v>
      </c>
      <c r="AF80" s="13">
        <f t="shared" si="24"/>
        <v>0</v>
      </c>
      <c r="AG80" s="13">
        <f t="shared" si="25"/>
        <v>0</v>
      </c>
      <c r="AH80" s="13">
        <f t="shared" si="26"/>
        <v>0</v>
      </c>
      <c r="AI80" s="13">
        <f t="shared" si="27"/>
        <v>0</v>
      </c>
      <c r="AJ80" s="13">
        <f t="shared" si="28"/>
        <v>0</v>
      </c>
      <c r="AK80" s="13">
        <f t="shared" si="29"/>
        <v>0</v>
      </c>
      <c r="AL80" s="13">
        <f t="shared" si="30"/>
        <v>0</v>
      </c>
      <c r="AM80" s="13">
        <f t="shared" si="31"/>
        <v>0</v>
      </c>
      <c r="AO80" s="14">
        <f t="shared" si="17"/>
        <v>0</v>
      </c>
      <c r="AP80" s="14">
        <f t="shared" si="17"/>
        <v>0</v>
      </c>
      <c r="AQ80" s="14">
        <f t="shared" si="17"/>
        <v>0</v>
      </c>
      <c r="AR80" s="14">
        <f t="shared" si="18"/>
        <v>0</v>
      </c>
      <c r="AS80" s="14">
        <f t="shared" si="18"/>
        <v>0</v>
      </c>
      <c r="AT80" s="14">
        <f t="shared" si="18"/>
        <v>0</v>
      </c>
      <c r="AU80" s="14">
        <f t="shared" si="18"/>
        <v>0</v>
      </c>
      <c r="AV80" s="14">
        <f t="shared" si="18"/>
        <v>0</v>
      </c>
      <c r="AW80" s="14">
        <f t="shared" si="18"/>
        <v>0</v>
      </c>
      <c r="AX80" s="14">
        <f t="shared" si="18"/>
        <v>0</v>
      </c>
      <c r="AY80" s="14">
        <f t="shared" si="18"/>
        <v>0</v>
      </c>
      <c r="AZ80" s="14">
        <f t="shared" si="18"/>
        <v>0</v>
      </c>
    </row>
    <row r="81" spans="1:52">
      <c r="A81">
        <f>Grades!A81</f>
        <v>0</v>
      </c>
      <c r="B81">
        <f>Grades!B81</f>
        <v>0</v>
      </c>
      <c r="C81" s="12">
        <f>Grades!C81</f>
        <v>0</v>
      </c>
      <c r="D81" s="13">
        <f t="shared" si="19"/>
        <v>0</v>
      </c>
      <c r="E81" s="13"/>
      <c r="F81" s="13"/>
      <c r="G81" s="13"/>
      <c r="H81" s="13"/>
      <c r="I81" s="13"/>
      <c r="J81" s="13"/>
      <c r="K81" s="13"/>
      <c r="L81" s="13"/>
      <c r="M81" s="13"/>
      <c r="N81" s="13"/>
      <c r="O81" s="13"/>
      <c r="P81" s="13"/>
      <c r="Q81" s="13"/>
      <c r="R81" s="13"/>
      <c r="S81" s="13"/>
      <c r="T81" s="13"/>
      <c r="U81" s="13"/>
      <c r="V81" s="13"/>
      <c r="W81" s="13"/>
      <c r="X81" s="13"/>
      <c r="Y81" s="13"/>
      <c r="Z81" s="13"/>
      <c r="AB81" s="13">
        <f t="shared" si="20"/>
        <v>0</v>
      </c>
      <c r="AC81" s="13">
        <f t="shared" si="21"/>
        <v>0</v>
      </c>
      <c r="AD81" s="13">
        <f t="shared" si="22"/>
        <v>0</v>
      </c>
      <c r="AE81" s="13">
        <f t="shared" si="23"/>
        <v>0</v>
      </c>
      <c r="AF81" s="13">
        <f t="shared" si="24"/>
        <v>0</v>
      </c>
      <c r="AG81" s="13">
        <f t="shared" si="25"/>
        <v>0</v>
      </c>
      <c r="AH81" s="13">
        <f t="shared" si="26"/>
        <v>0</v>
      </c>
      <c r="AI81" s="13">
        <f t="shared" si="27"/>
        <v>0</v>
      </c>
      <c r="AJ81" s="13">
        <f t="shared" si="28"/>
        <v>0</v>
      </c>
      <c r="AK81" s="13">
        <f t="shared" si="29"/>
        <v>0</v>
      </c>
      <c r="AL81" s="13">
        <f t="shared" si="30"/>
        <v>0</v>
      </c>
      <c r="AM81" s="13">
        <f t="shared" si="31"/>
        <v>0</v>
      </c>
      <c r="AO81" s="14">
        <f t="shared" si="17"/>
        <v>0</v>
      </c>
      <c r="AP81" s="14">
        <f t="shared" si="17"/>
        <v>0</v>
      </c>
      <c r="AQ81" s="14">
        <f t="shared" si="17"/>
        <v>0</v>
      </c>
      <c r="AR81" s="14">
        <f t="shared" si="18"/>
        <v>0</v>
      </c>
      <c r="AS81" s="14">
        <f t="shared" si="18"/>
        <v>0</v>
      </c>
      <c r="AT81" s="14">
        <f t="shared" si="18"/>
        <v>0</v>
      </c>
      <c r="AU81" s="14">
        <f t="shared" si="18"/>
        <v>0</v>
      </c>
      <c r="AV81" s="14">
        <f t="shared" si="18"/>
        <v>0</v>
      </c>
      <c r="AW81" s="14">
        <f t="shared" si="18"/>
        <v>0</v>
      </c>
      <c r="AX81" s="14">
        <f t="shared" si="18"/>
        <v>0</v>
      </c>
      <c r="AY81" s="14">
        <f t="shared" si="18"/>
        <v>0</v>
      </c>
      <c r="AZ81" s="14">
        <f t="shared" si="18"/>
        <v>0</v>
      </c>
    </row>
    <row r="82" spans="1:52">
      <c r="A82">
        <f>Grades!A82</f>
        <v>0</v>
      </c>
      <c r="B82">
        <f>Grades!B82</f>
        <v>0</v>
      </c>
      <c r="C82" s="12">
        <f>Grades!C82</f>
        <v>0</v>
      </c>
      <c r="D82" s="13">
        <f t="shared" si="19"/>
        <v>0</v>
      </c>
      <c r="E82" s="13"/>
      <c r="F82" s="13"/>
      <c r="G82" s="13"/>
      <c r="H82" s="13"/>
      <c r="I82" s="13"/>
      <c r="J82" s="13"/>
      <c r="K82" s="13"/>
      <c r="L82" s="13"/>
      <c r="M82" s="13"/>
      <c r="N82" s="13"/>
      <c r="O82" s="13"/>
      <c r="P82" s="13"/>
      <c r="Q82" s="13"/>
      <c r="R82" s="13"/>
      <c r="S82" s="13"/>
      <c r="T82" s="13"/>
      <c r="U82" s="13"/>
      <c r="V82" s="13"/>
      <c r="W82" s="13"/>
      <c r="X82" s="13"/>
      <c r="Y82" s="13"/>
      <c r="Z82" s="13"/>
      <c r="AB82" s="13">
        <f t="shared" si="20"/>
        <v>0</v>
      </c>
      <c r="AC82" s="13">
        <f t="shared" si="21"/>
        <v>0</v>
      </c>
      <c r="AD82" s="13">
        <f t="shared" si="22"/>
        <v>0</v>
      </c>
      <c r="AE82" s="13">
        <f t="shared" si="23"/>
        <v>0</v>
      </c>
      <c r="AF82" s="13">
        <f t="shared" si="24"/>
        <v>0</v>
      </c>
      <c r="AG82" s="13">
        <f t="shared" si="25"/>
        <v>0</v>
      </c>
      <c r="AH82" s="13">
        <f t="shared" si="26"/>
        <v>0</v>
      </c>
      <c r="AI82" s="13">
        <f t="shared" si="27"/>
        <v>0</v>
      </c>
      <c r="AJ82" s="13">
        <f t="shared" si="28"/>
        <v>0</v>
      </c>
      <c r="AK82" s="13">
        <f t="shared" si="29"/>
        <v>0</v>
      </c>
      <c r="AL82" s="13">
        <f t="shared" si="30"/>
        <v>0</v>
      </c>
      <c r="AM82" s="13">
        <f t="shared" si="31"/>
        <v>0</v>
      </c>
      <c r="AO82" s="14">
        <f t="shared" si="17"/>
        <v>0</v>
      </c>
      <c r="AP82" s="14">
        <f t="shared" si="17"/>
        <v>0</v>
      </c>
      <c r="AQ82" s="14">
        <f t="shared" si="17"/>
        <v>0</v>
      </c>
      <c r="AR82" s="14">
        <f t="shared" si="18"/>
        <v>0</v>
      </c>
      <c r="AS82" s="14">
        <f t="shared" si="18"/>
        <v>0</v>
      </c>
      <c r="AT82" s="14">
        <f t="shared" si="18"/>
        <v>0</v>
      </c>
      <c r="AU82" s="14">
        <f t="shared" si="18"/>
        <v>0</v>
      </c>
      <c r="AV82" s="14">
        <f t="shared" si="18"/>
        <v>0</v>
      </c>
      <c r="AW82" s="14">
        <f t="shared" si="18"/>
        <v>0</v>
      </c>
      <c r="AX82" s="14">
        <f t="shared" si="18"/>
        <v>0</v>
      </c>
      <c r="AY82" s="14">
        <f t="shared" si="18"/>
        <v>0</v>
      </c>
      <c r="AZ82" s="14">
        <f t="shared" si="18"/>
        <v>0</v>
      </c>
    </row>
    <row r="83" spans="1:52">
      <c r="A83">
        <f>Grades!A83</f>
        <v>0</v>
      </c>
      <c r="B83">
        <f>Grades!B83</f>
        <v>0</v>
      </c>
      <c r="C83" s="12">
        <f>Grades!C83</f>
        <v>0</v>
      </c>
      <c r="D83" s="13">
        <f t="shared" si="19"/>
        <v>0</v>
      </c>
      <c r="E83" s="13"/>
      <c r="F83" s="13"/>
      <c r="G83" s="13"/>
      <c r="H83" s="13"/>
      <c r="I83" s="13"/>
      <c r="J83" s="13"/>
      <c r="K83" s="13"/>
      <c r="L83" s="13"/>
      <c r="M83" s="13"/>
      <c r="N83" s="13"/>
      <c r="O83" s="13"/>
      <c r="P83" s="13"/>
      <c r="Q83" s="13"/>
      <c r="R83" s="13"/>
      <c r="S83" s="13"/>
      <c r="T83" s="13"/>
      <c r="U83" s="13"/>
      <c r="V83" s="13"/>
      <c r="W83" s="13"/>
      <c r="X83" s="13"/>
      <c r="Y83" s="13"/>
      <c r="Z83" s="13"/>
      <c r="AB83" s="13">
        <f t="shared" si="20"/>
        <v>0</v>
      </c>
      <c r="AC83" s="13">
        <f t="shared" si="21"/>
        <v>0</v>
      </c>
      <c r="AD83" s="13">
        <f t="shared" si="22"/>
        <v>0</v>
      </c>
      <c r="AE83" s="13">
        <f t="shared" si="23"/>
        <v>0</v>
      </c>
      <c r="AF83" s="13">
        <f t="shared" si="24"/>
        <v>0</v>
      </c>
      <c r="AG83" s="13">
        <f t="shared" si="25"/>
        <v>0</v>
      </c>
      <c r="AH83" s="13">
        <f t="shared" si="26"/>
        <v>0</v>
      </c>
      <c r="AI83" s="13">
        <f t="shared" si="27"/>
        <v>0</v>
      </c>
      <c r="AJ83" s="13">
        <f t="shared" si="28"/>
        <v>0</v>
      </c>
      <c r="AK83" s="13">
        <f t="shared" si="29"/>
        <v>0</v>
      </c>
      <c r="AL83" s="13">
        <f t="shared" si="30"/>
        <v>0</v>
      </c>
      <c r="AM83" s="13">
        <f t="shared" si="31"/>
        <v>0</v>
      </c>
      <c r="AO83" s="14">
        <f t="shared" si="17"/>
        <v>0</v>
      </c>
      <c r="AP83" s="14">
        <f t="shared" si="17"/>
        <v>0</v>
      </c>
      <c r="AQ83" s="14">
        <f t="shared" si="17"/>
        <v>0</v>
      </c>
      <c r="AR83" s="14">
        <f t="shared" si="18"/>
        <v>0</v>
      </c>
      <c r="AS83" s="14">
        <f t="shared" si="18"/>
        <v>0</v>
      </c>
      <c r="AT83" s="14">
        <f t="shared" si="18"/>
        <v>0</v>
      </c>
      <c r="AU83" s="14">
        <f t="shared" si="18"/>
        <v>0</v>
      </c>
      <c r="AV83" s="14">
        <f t="shared" si="18"/>
        <v>0</v>
      </c>
      <c r="AW83" s="14">
        <f t="shared" si="18"/>
        <v>0</v>
      </c>
      <c r="AX83" s="14">
        <f t="shared" si="18"/>
        <v>0</v>
      </c>
      <c r="AY83" s="14">
        <f t="shared" si="18"/>
        <v>0</v>
      </c>
      <c r="AZ83" s="14">
        <f t="shared" si="18"/>
        <v>0</v>
      </c>
    </row>
    <row r="84" spans="1:52">
      <c r="A84">
        <f>Grades!A84</f>
        <v>0</v>
      </c>
      <c r="B84">
        <f>Grades!B84</f>
        <v>0</v>
      </c>
      <c r="C84" s="12">
        <f>Grades!C84</f>
        <v>0</v>
      </c>
      <c r="D84" s="13">
        <f t="shared" si="19"/>
        <v>0</v>
      </c>
      <c r="E84" s="13"/>
      <c r="F84" s="13"/>
      <c r="G84" s="13"/>
      <c r="H84" s="13"/>
      <c r="I84" s="13"/>
      <c r="J84" s="13"/>
      <c r="K84" s="13"/>
      <c r="L84" s="13"/>
      <c r="M84" s="13"/>
      <c r="N84" s="13"/>
      <c r="O84" s="13"/>
      <c r="P84" s="13"/>
      <c r="Q84" s="13"/>
      <c r="R84" s="13"/>
      <c r="S84" s="13"/>
      <c r="T84" s="13"/>
      <c r="U84" s="13"/>
      <c r="V84" s="13"/>
      <c r="W84" s="13"/>
      <c r="X84" s="13"/>
      <c r="Y84" s="13"/>
      <c r="Z84" s="13"/>
      <c r="AB84" s="13">
        <f t="shared" si="20"/>
        <v>0</v>
      </c>
      <c r="AC84" s="13">
        <f t="shared" si="21"/>
        <v>0</v>
      </c>
      <c r="AD84" s="13">
        <f t="shared" si="22"/>
        <v>0</v>
      </c>
      <c r="AE84" s="13">
        <f t="shared" si="23"/>
        <v>0</v>
      </c>
      <c r="AF84" s="13">
        <f t="shared" si="24"/>
        <v>0</v>
      </c>
      <c r="AG84" s="13">
        <f t="shared" si="25"/>
        <v>0</v>
      </c>
      <c r="AH84" s="13">
        <f t="shared" si="26"/>
        <v>0</v>
      </c>
      <c r="AI84" s="13">
        <f t="shared" si="27"/>
        <v>0</v>
      </c>
      <c r="AJ84" s="13">
        <f t="shared" si="28"/>
        <v>0</v>
      </c>
      <c r="AK84" s="13">
        <f t="shared" si="29"/>
        <v>0</v>
      </c>
      <c r="AL84" s="13">
        <f t="shared" si="30"/>
        <v>0</v>
      </c>
      <c r="AM84" s="13">
        <f t="shared" si="31"/>
        <v>0</v>
      </c>
      <c r="AO84" s="14">
        <f t="shared" si="17"/>
        <v>0</v>
      </c>
      <c r="AP84" s="14">
        <f t="shared" si="17"/>
        <v>0</v>
      </c>
      <c r="AQ84" s="14">
        <f t="shared" si="17"/>
        <v>0</v>
      </c>
      <c r="AR84" s="14">
        <f t="shared" si="18"/>
        <v>0</v>
      </c>
      <c r="AS84" s="14">
        <f t="shared" si="18"/>
        <v>0</v>
      </c>
      <c r="AT84" s="14">
        <f t="shared" si="18"/>
        <v>0</v>
      </c>
      <c r="AU84" s="14">
        <f t="shared" si="18"/>
        <v>0</v>
      </c>
      <c r="AV84" s="14">
        <f t="shared" si="18"/>
        <v>0</v>
      </c>
      <c r="AW84" s="14">
        <f t="shared" si="18"/>
        <v>0</v>
      </c>
      <c r="AX84" s="14">
        <f t="shared" si="18"/>
        <v>0</v>
      </c>
      <c r="AY84" s="14">
        <f t="shared" si="18"/>
        <v>0</v>
      </c>
      <c r="AZ84" s="14">
        <f t="shared" si="18"/>
        <v>0</v>
      </c>
    </row>
    <row r="85" spans="1:52">
      <c r="A85">
        <f>Grades!A85</f>
        <v>0</v>
      </c>
      <c r="B85">
        <f>Grades!B85</f>
        <v>0</v>
      </c>
      <c r="C85" s="12">
        <f>Grades!C85</f>
        <v>0</v>
      </c>
      <c r="D85" s="13">
        <f t="shared" si="19"/>
        <v>0</v>
      </c>
      <c r="E85" s="13"/>
      <c r="F85" s="13"/>
      <c r="G85" s="13"/>
      <c r="H85" s="13"/>
      <c r="I85" s="13"/>
      <c r="J85" s="13"/>
      <c r="K85" s="13"/>
      <c r="L85" s="13"/>
      <c r="M85" s="13"/>
      <c r="N85" s="13"/>
      <c r="O85" s="13"/>
      <c r="P85" s="13"/>
      <c r="Q85" s="13"/>
      <c r="R85" s="13"/>
      <c r="S85" s="13"/>
      <c r="T85" s="13"/>
      <c r="U85" s="13"/>
      <c r="V85" s="13"/>
      <c r="W85" s="13"/>
      <c r="X85" s="13"/>
      <c r="Y85" s="13"/>
      <c r="Z85" s="13"/>
      <c r="AB85" s="13">
        <f t="shared" si="20"/>
        <v>0</v>
      </c>
      <c r="AC85" s="13">
        <f t="shared" si="21"/>
        <v>0</v>
      </c>
      <c r="AD85" s="13">
        <f t="shared" si="22"/>
        <v>0</v>
      </c>
      <c r="AE85" s="13">
        <f t="shared" si="23"/>
        <v>0</v>
      </c>
      <c r="AF85" s="13">
        <f t="shared" si="24"/>
        <v>0</v>
      </c>
      <c r="AG85" s="13">
        <f t="shared" si="25"/>
        <v>0</v>
      </c>
      <c r="AH85" s="13">
        <f t="shared" si="26"/>
        <v>0</v>
      </c>
      <c r="AI85" s="13">
        <f t="shared" si="27"/>
        <v>0</v>
      </c>
      <c r="AJ85" s="13">
        <f t="shared" si="28"/>
        <v>0</v>
      </c>
      <c r="AK85" s="13">
        <f t="shared" si="29"/>
        <v>0</v>
      </c>
      <c r="AL85" s="13">
        <f t="shared" si="30"/>
        <v>0</v>
      </c>
      <c r="AM85" s="13">
        <f t="shared" si="31"/>
        <v>0</v>
      </c>
      <c r="AO85" s="14">
        <f t="shared" si="17"/>
        <v>0</v>
      </c>
      <c r="AP85" s="14">
        <f t="shared" si="17"/>
        <v>0</v>
      </c>
      <c r="AQ85" s="14">
        <f t="shared" si="17"/>
        <v>0</v>
      </c>
      <c r="AR85" s="14">
        <f t="shared" si="18"/>
        <v>0</v>
      </c>
      <c r="AS85" s="14">
        <f t="shared" si="18"/>
        <v>0</v>
      </c>
      <c r="AT85" s="14">
        <f t="shared" si="18"/>
        <v>0</v>
      </c>
      <c r="AU85" s="14">
        <f t="shared" si="18"/>
        <v>0</v>
      </c>
      <c r="AV85" s="14">
        <f t="shared" si="18"/>
        <v>0</v>
      </c>
      <c r="AW85" s="14">
        <f t="shared" si="18"/>
        <v>0</v>
      </c>
      <c r="AX85" s="14">
        <f t="shared" si="18"/>
        <v>0</v>
      </c>
      <c r="AY85" s="14">
        <f t="shared" si="18"/>
        <v>0</v>
      </c>
      <c r="AZ85" s="14">
        <f t="shared" si="18"/>
        <v>0</v>
      </c>
    </row>
    <row r="86" spans="1:52">
      <c r="A86">
        <f>Grades!A86</f>
        <v>0</v>
      </c>
      <c r="B86">
        <f>Grades!B86</f>
        <v>0</v>
      </c>
      <c r="C86" s="12">
        <f>Grades!C86</f>
        <v>0</v>
      </c>
      <c r="D86" s="13">
        <f t="shared" si="19"/>
        <v>0</v>
      </c>
      <c r="E86" s="13"/>
      <c r="F86" s="13"/>
      <c r="G86" s="13"/>
      <c r="H86" s="13"/>
      <c r="I86" s="13"/>
      <c r="J86" s="13"/>
      <c r="K86" s="13"/>
      <c r="L86" s="13"/>
      <c r="M86" s="13"/>
      <c r="N86" s="13"/>
      <c r="O86" s="13"/>
      <c r="P86" s="13"/>
      <c r="Q86" s="13"/>
      <c r="R86" s="13"/>
      <c r="S86" s="13"/>
      <c r="T86" s="13"/>
      <c r="U86" s="13"/>
      <c r="V86" s="13"/>
      <c r="W86" s="13"/>
      <c r="X86" s="13"/>
      <c r="Y86" s="13"/>
      <c r="Z86" s="13"/>
      <c r="AB86" s="13">
        <f t="shared" si="20"/>
        <v>0</v>
      </c>
      <c r="AC86" s="13">
        <f t="shared" si="21"/>
        <v>0</v>
      </c>
      <c r="AD86" s="13">
        <f t="shared" si="22"/>
        <v>0</v>
      </c>
      <c r="AE86" s="13">
        <f t="shared" si="23"/>
        <v>0</v>
      </c>
      <c r="AF86" s="13">
        <f t="shared" si="24"/>
        <v>0</v>
      </c>
      <c r="AG86" s="13">
        <f t="shared" si="25"/>
        <v>0</v>
      </c>
      <c r="AH86" s="13">
        <f t="shared" si="26"/>
        <v>0</v>
      </c>
      <c r="AI86" s="13">
        <f t="shared" si="27"/>
        <v>0</v>
      </c>
      <c r="AJ86" s="13">
        <f t="shared" si="28"/>
        <v>0</v>
      </c>
      <c r="AK86" s="13">
        <f t="shared" si="29"/>
        <v>0</v>
      </c>
      <c r="AL86" s="13">
        <f t="shared" si="30"/>
        <v>0</v>
      </c>
      <c r="AM86" s="13">
        <f t="shared" si="31"/>
        <v>0</v>
      </c>
      <c r="AO86" s="14">
        <f t="shared" si="17"/>
        <v>0</v>
      </c>
      <c r="AP86" s="14">
        <f t="shared" si="17"/>
        <v>0</v>
      </c>
      <c r="AQ86" s="14">
        <f t="shared" si="17"/>
        <v>0</v>
      </c>
      <c r="AR86" s="14">
        <f t="shared" si="18"/>
        <v>0</v>
      </c>
      <c r="AS86" s="14">
        <f t="shared" si="18"/>
        <v>0</v>
      </c>
      <c r="AT86" s="14">
        <f t="shared" si="18"/>
        <v>0</v>
      </c>
      <c r="AU86" s="14">
        <f t="shared" si="18"/>
        <v>0</v>
      </c>
      <c r="AV86" s="14">
        <f t="shared" si="18"/>
        <v>0</v>
      </c>
      <c r="AW86" s="14">
        <f t="shared" si="18"/>
        <v>0</v>
      </c>
      <c r="AX86" s="14">
        <f t="shared" si="18"/>
        <v>0</v>
      </c>
      <c r="AY86" s="14">
        <f t="shared" si="18"/>
        <v>0</v>
      </c>
      <c r="AZ86" s="14">
        <f t="shared" si="18"/>
        <v>0</v>
      </c>
    </row>
    <row r="87" spans="1:52">
      <c r="A87">
        <f>Grades!A87</f>
        <v>0</v>
      </c>
      <c r="B87">
        <f>Grades!B87</f>
        <v>0</v>
      </c>
      <c r="C87" s="12">
        <f>Grades!C87</f>
        <v>0</v>
      </c>
      <c r="D87" s="13">
        <f t="shared" si="19"/>
        <v>0</v>
      </c>
      <c r="E87" s="13"/>
      <c r="F87" s="13"/>
      <c r="G87" s="13"/>
      <c r="H87" s="13"/>
      <c r="I87" s="13"/>
      <c r="J87" s="13"/>
      <c r="K87" s="13"/>
      <c r="L87" s="13"/>
      <c r="M87" s="13"/>
      <c r="N87" s="13"/>
      <c r="O87" s="13"/>
      <c r="P87" s="13"/>
      <c r="Q87" s="13"/>
      <c r="R87" s="13"/>
      <c r="S87" s="13"/>
      <c r="T87" s="13"/>
      <c r="U87" s="13"/>
      <c r="V87" s="13"/>
      <c r="W87" s="13"/>
      <c r="X87" s="13"/>
      <c r="Y87" s="13"/>
      <c r="Z87" s="13"/>
      <c r="AB87" s="13">
        <f t="shared" si="20"/>
        <v>0</v>
      </c>
      <c r="AC87" s="13">
        <f t="shared" si="21"/>
        <v>0</v>
      </c>
      <c r="AD87" s="13">
        <f t="shared" si="22"/>
        <v>0</v>
      </c>
      <c r="AE87" s="13">
        <f t="shared" si="23"/>
        <v>0</v>
      </c>
      <c r="AF87" s="13">
        <f t="shared" si="24"/>
        <v>0</v>
      </c>
      <c r="AG87" s="13">
        <f t="shared" si="25"/>
        <v>0</v>
      </c>
      <c r="AH87" s="13">
        <f t="shared" si="26"/>
        <v>0</v>
      </c>
      <c r="AI87" s="13">
        <f t="shared" si="27"/>
        <v>0</v>
      </c>
      <c r="AJ87" s="13">
        <f t="shared" si="28"/>
        <v>0</v>
      </c>
      <c r="AK87" s="13">
        <f t="shared" si="29"/>
        <v>0</v>
      </c>
      <c r="AL87" s="13">
        <f t="shared" si="30"/>
        <v>0</v>
      </c>
      <c r="AM87" s="13">
        <f t="shared" si="31"/>
        <v>0</v>
      </c>
      <c r="AO87" s="14">
        <f t="shared" si="17"/>
        <v>0</v>
      </c>
      <c r="AP87" s="14">
        <f t="shared" si="17"/>
        <v>0</v>
      </c>
      <c r="AQ87" s="14">
        <f t="shared" si="17"/>
        <v>0</v>
      </c>
      <c r="AR87" s="14">
        <f t="shared" si="18"/>
        <v>0</v>
      </c>
      <c r="AS87" s="14">
        <f t="shared" si="18"/>
        <v>0</v>
      </c>
      <c r="AT87" s="14">
        <f t="shared" si="18"/>
        <v>0</v>
      </c>
      <c r="AU87" s="14">
        <f t="shared" si="18"/>
        <v>0</v>
      </c>
      <c r="AV87" s="14">
        <f t="shared" si="18"/>
        <v>0</v>
      </c>
      <c r="AW87" s="14">
        <f t="shared" si="18"/>
        <v>0</v>
      </c>
      <c r="AX87" s="14">
        <f t="shared" si="18"/>
        <v>0</v>
      </c>
      <c r="AY87" s="14">
        <f t="shared" si="18"/>
        <v>0</v>
      </c>
      <c r="AZ87" s="14">
        <f t="shared" si="18"/>
        <v>0</v>
      </c>
    </row>
    <row r="88" spans="1:52">
      <c r="A88">
        <f>Grades!A88</f>
        <v>0</v>
      </c>
      <c r="B88">
        <f>Grades!B88</f>
        <v>0</v>
      </c>
      <c r="C88" s="12">
        <f>Grades!C88</f>
        <v>0</v>
      </c>
      <c r="D88" s="13">
        <f t="shared" si="19"/>
        <v>0</v>
      </c>
      <c r="E88" s="13"/>
      <c r="F88" s="13"/>
      <c r="G88" s="13"/>
      <c r="H88" s="13"/>
      <c r="I88" s="13"/>
      <c r="J88" s="13"/>
      <c r="K88" s="13"/>
      <c r="L88" s="13"/>
      <c r="M88" s="13"/>
      <c r="N88" s="13"/>
      <c r="O88" s="13"/>
      <c r="P88" s="13"/>
      <c r="Q88" s="13"/>
      <c r="R88" s="13"/>
      <c r="S88" s="13"/>
      <c r="T88" s="13"/>
      <c r="U88" s="13"/>
      <c r="V88" s="13"/>
      <c r="W88" s="13"/>
      <c r="X88" s="13"/>
      <c r="Y88" s="13"/>
      <c r="Z88" s="13"/>
      <c r="AB88" s="13">
        <f t="shared" si="20"/>
        <v>0</v>
      </c>
      <c r="AC88" s="13">
        <f t="shared" si="21"/>
        <v>0</v>
      </c>
      <c r="AD88" s="13">
        <f t="shared" si="22"/>
        <v>0</v>
      </c>
      <c r="AE88" s="13">
        <f t="shared" si="23"/>
        <v>0</v>
      </c>
      <c r="AF88" s="13">
        <f t="shared" si="24"/>
        <v>0</v>
      </c>
      <c r="AG88" s="13">
        <f t="shared" si="25"/>
        <v>0</v>
      </c>
      <c r="AH88" s="13">
        <f t="shared" si="26"/>
        <v>0</v>
      </c>
      <c r="AI88" s="13">
        <f t="shared" si="27"/>
        <v>0</v>
      </c>
      <c r="AJ88" s="13">
        <f t="shared" si="28"/>
        <v>0</v>
      </c>
      <c r="AK88" s="13">
        <f t="shared" si="29"/>
        <v>0</v>
      </c>
      <c r="AL88" s="13">
        <f t="shared" si="30"/>
        <v>0</v>
      </c>
      <c r="AM88" s="13">
        <f t="shared" si="31"/>
        <v>0</v>
      </c>
      <c r="AO88" s="14">
        <f t="shared" si="17"/>
        <v>0</v>
      </c>
      <c r="AP88" s="14">
        <f t="shared" si="17"/>
        <v>0</v>
      </c>
      <c r="AQ88" s="14">
        <f t="shared" si="17"/>
        <v>0</v>
      </c>
      <c r="AR88" s="14">
        <f t="shared" si="18"/>
        <v>0</v>
      </c>
      <c r="AS88" s="14">
        <f t="shared" si="18"/>
        <v>0</v>
      </c>
      <c r="AT88" s="14">
        <f t="shared" si="18"/>
        <v>0</v>
      </c>
      <c r="AU88" s="14">
        <f t="shared" si="18"/>
        <v>0</v>
      </c>
      <c r="AV88" s="14">
        <f t="shared" si="18"/>
        <v>0</v>
      </c>
      <c r="AW88" s="14">
        <f t="shared" si="18"/>
        <v>0</v>
      </c>
      <c r="AX88" s="14">
        <f t="shared" si="18"/>
        <v>0</v>
      </c>
      <c r="AY88" s="14">
        <f t="shared" si="18"/>
        <v>0</v>
      </c>
      <c r="AZ88" s="14">
        <f t="shared" si="18"/>
        <v>0</v>
      </c>
    </row>
    <row r="89" spans="1:52">
      <c r="A89">
        <f>Grades!A89</f>
        <v>0</v>
      </c>
      <c r="B89">
        <f>Grades!B89</f>
        <v>0</v>
      </c>
      <c r="C89" s="12">
        <f>Grades!C89</f>
        <v>0</v>
      </c>
      <c r="D89" s="13">
        <f t="shared" si="19"/>
        <v>0</v>
      </c>
      <c r="E89" s="13"/>
      <c r="F89" s="13"/>
      <c r="G89" s="13"/>
      <c r="H89" s="13"/>
      <c r="I89" s="13"/>
      <c r="J89" s="13"/>
      <c r="K89" s="13"/>
      <c r="L89" s="13"/>
      <c r="M89" s="13"/>
      <c r="N89" s="13"/>
      <c r="O89" s="13"/>
      <c r="P89" s="13"/>
      <c r="Q89" s="13"/>
      <c r="R89" s="13"/>
      <c r="S89" s="13"/>
      <c r="T89" s="13"/>
      <c r="U89" s="13"/>
      <c r="V89" s="13"/>
      <c r="W89" s="13"/>
      <c r="X89" s="13"/>
      <c r="Y89" s="13"/>
      <c r="Z89" s="13"/>
      <c r="AB89" s="13">
        <f t="shared" si="20"/>
        <v>0</v>
      </c>
      <c r="AC89" s="13">
        <f t="shared" si="21"/>
        <v>0</v>
      </c>
      <c r="AD89" s="13">
        <f t="shared" si="22"/>
        <v>0</v>
      </c>
      <c r="AE89" s="13">
        <f t="shared" si="23"/>
        <v>0</v>
      </c>
      <c r="AF89" s="13">
        <f t="shared" si="24"/>
        <v>0</v>
      </c>
      <c r="AG89" s="13">
        <f t="shared" si="25"/>
        <v>0</v>
      </c>
      <c r="AH89" s="13">
        <f t="shared" si="26"/>
        <v>0</v>
      </c>
      <c r="AI89" s="13">
        <f t="shared" si="27"/>
        <v>0</v>
      </c>
      <c r="AJ89" s="13">
        <f t="shared" si="28"/>
        <v>0</v>
      </c>
      <c r="AK89" s="13">
        <f t="shared" si="29"/>
        <v>0</v>
      </c>
      <c r="AL89" s="13">
        <f t="shared" si="30"/>
        <v>0</v>
      </c>
      <c r="AM89" s="13">
        <f t="shared" si="31"/>
        <v>0</v>
      </c>
      <c r="AO89" s="14">
        <f t="shared" si="17"/>
        <v>0</v>
      </c>
      <c r="AP89" s="14">
        <f t="shared" si="17"/>
        <v>0</v>
      </c>
      <c r="AQ89" s="14">
        <f t="shared" si="17"/>
        <v>0</v>
      </c>
      <c r="AR89" s="14">
        <f t="shared" si="18"/>
        <v>0</v>
      </c>
      <c r="AS89" s="14">
        <f t="shared" si="18"/>
        <v>0</v>
      </c>
      <c r="AT89" s="14">
        <f t="shared" si="18"/>
        <v>0</v>
      </c>
      <c r="AU89" s="14">
        <f t="shared" si="18"/>
        <v>0</v>
      </c>
      <c r="AV89" s="14">
        <f t="shared" si="18"/>
        <v>0</v>
      </c>
      <c r="AW89" s="14">
        <f t="shared" si="18"/>
        <v>0</v>
      </c>
      <c r="AX89" s="14">
        <f t="shared" si="18"/>
        <v>0</v>
      </c>
      <c r="AY89" s="14">
        <f t="shared" si="18"/>
        <v>0</v>
      </c>
      <c r="AZ89" s="14">
        <f t="shared" si="18"/>
        <v>0</v>
      </c>
    </row>
    <row r="90" spans="1:52">
      <c r="A90">
        <f>Grades!A90</f>
        <v>0</v>
      </c>
      <c r="B90">
        <f>Grades!B90</f>
        <v>0</v>
      </c>
      <c r="C90" s="12">
        <f>Grades!C90</f>
        <v>0</v>
      </c>
      <c r="D90" s="13">
        <f t="shared" si="19"/>
        <v>0</v>
      </c>
      <c r="E90" s="13"/>
      <c r="F90" s="13"/>
      <c r="G90" s="13"/>
      <c r="H90" s="13"/>
      <c r="I90" s="13"/>
      <c r="J90" s="13"/>
      <c r="K90" s="13"/>
      <c r="L90" s="13"/>
      <c r="M90" s="13"/>
      <c r="N90" s="13"/>
      <c r="O90" s="13"/>
      <c r="P90" s="13"/>
      <c r="Q90" s="13"/>
      <c r="R90" s="13"/>
      <c r="S90" s="13"/>
      <c r="T90" s="13"/>
      <c r="U90" s="13"/>
      <c r="V90" s="13"/>
      <c r="W90" s="13"/>
      <c r="X90" s="13"/>
      <c r="Y90" s="13"/>
      <c r="Z90" s="13"/>
      <c r="AB90" s="13">
        <f t="shared" si="20"/>
        <v>0</v>
      </c>
      <c r="AC90" s="13">
        <f t="shared" si="21"/>
        <v>0</v>
      </c>
      <c r="AD90" s="13">
        <f t="shared" si="22"/>
        <v>0</v>
      </c>
      <c r="AE90" s="13">
        <f t="shared" si="23"/>
        <v>0</v>
      </c>
      <c r="AF90" s="13">
        <f t="shared" si="24"/>
        <v>0</v>
      </c>
      <c r="AG90" s="13">
        <f t="shared" si="25"/>
        <v>0</v>
      </c>
      <c r="AH90" s="13">
        <f t="shared" si="26"/>
        <v>0</v>
      </c>
      <c r="AI90" s="13">
        <f t="shared" si="27"/>
        <v>0</v>
      </c>
      <c r="AJ90" s="13">
        <f t="shared" si="28"/>
        <v>0</v>
      </c>
      <c r="AK90" s="13">
        <f t="shared" si="29"/>
        <v>0</v>
      </c>
      <c r="AL90" s="13">
        <f t="shared" si="30"/>
        <v>0</v>
      </c>
      <c r="AM90" s="13">
        <f t="shared" si="31"/>
        <v>0</v>
      </c>
      <c r="AO90" s="14">
        <f t="shared" si="17"/>
        <v>0</v>
      </c>
      <c r="AP90" s="14">
        <f t="shared" si="17"/>
        <v>0</v>
      </c>
      <c r="AQ90" s="14">
        <f t="shared" si="17"/>
        <v>0</v>
      </c>
      <c r="AR90" s="14">
        <f t="shared" si="18"/>
        <v>0</v>
      </c>
      <c r="AS90" s="14">
        <f t="shared" si="18"/>
        <v>0</v>
      </c>
      <c r="AT90" s="14">
        <f t="shared" si="18"/>
        <v>0</v>
      </c>
      <c r="AU90" s="14">
        <f t="shared" si="18"/>
        <v>0</v>
      </c>
      <c r="AV90" s="14">
        <f t="shared" si="18"/>
        <v>0</v>
      </c>
      <c r="AW90" s="14">
        <f t="shared" si="18"/>
        <v>0</v>
      </c>
      <c r="AX90" s="14">
        <f t="shared" si="18"/>
        <v>0</v>
      </c>
      <c r="AY90" s="14">
        <f t="shared" si="18"/>
        <v>0</v>
      </c>
      <c r="AZ90" s="14">
        <f t="shared" si="18"/>
        <v>0</v>
      </c>
    </row>
    <row r="91" spans="1:52">
      <c r="A91">
        <f>Grades!A91</f>
        <v>0</v>
      </c>
      <c r="B91">
        <f>Grades!B91</f>
        <v>0</v>
      </c>
      <c r="C91" s="12">
        <f>Grades!C91</f>
        <v>0</v>
      </c>
      <c r="D91" s="13">
        <f t="shared" si="19"/>
        <v>0</v>
      </c>
      <c r="E91" s="13"/>
      <c r="F91" s="13"/>
      <c r="G91" s="13"/>
      <c r="H91" s="13"/>
      <c r="I91" s="13"/>
      <c r="J91" s="13"/>
      <c r="K91" s="13"/>
      <c r="L91" s="13"/>
      <c r="M91" s="13"/>
      <c r="N91" s="13"/>
      <c r="O91" s="13"/>
      <c r="P91" s="13"/>
      <c r="Q91" s="13"/>
      <c r="R91" s="13"/>
      <c r="S91" s="13"/>
      <c r="T91" s="13"/>
      <c r="U91" s="13"/>
      <c r="V91" s="13"/>
      <c r="W91" s="13"/>
      <c r="X91" s="13"/>
      <c r="Y91" s="13"/>
      <c r="Z91" s="13"/>
      <c r="AB91" s="13">
        <f t="shared" si="20"/>
        <v>0</v>
      </c>
      <c r="AC91" s="13">
        <f t="shared" si="21"/>
        <v>0</v>
      </c>
      <c r="AD91" s="13">
        <f t="shared" si="22"/>
        <v>0</v>
      </c>
      <c r="AE91" s="13">
        <f t="shared" si="23"/>
        <v>0</v>
      </c>
      <c r="AF91" s="13">
        <f t="shared" si="24"/>
        <v>0</v>
      </c>
      <c r="AG91" s="13">
        <f t="shared" si="25"/>
        <v>0</v>
      </c>
      <c r="AH91" s="13">
        <f t="shared" si="26"/>
        <v>0</v>
      </c>
      <c r="AI91" s="13">
        <f t="shared" si="27"/>
        <v>0</v>
      </c>
      <c r="AJ91" s="13">
        <f t="shared" si="28"/>
        <v>0</v>
      </c>
      <c r="AK91" s="13">
        <f t="shared" si="29"/>
        <v>0</v>
      </c>
      <c r="AL91" s="13">
        <f t="shared" si="30"/>
        <v>0</v>
      </c>
      <c r="AM91" s="13">
        <f t="shared" si="31"/>
        <v>0</v>
      </c>
      <c r="AO91" s="14">
        <f t="shared" si="17"/>
        <v>0</v>
      </c>
      <c r="AP91" s="14">
        <f t="shared" si="17"/>
        <v>0</v>
      </c>
      <c r="AQ91" s="14">
        <f t="shared" si="17"/>
        <v>0</v>
      </c>
      <c r="AR91" s="14">
        <f t="shared" si="18"/>
        <v>0</v>
      </c>
      <c r="AS91" s="14">
        <f t="shared" si="18"/>
        <v>0</v>
      </c>
      <c r="AT91" s="14">
        <f t="shared" si="18"/>
        <v>0</v>
      </c>
      <c r="AU91" s="14">
        <f t="shared" si="18"/>
        <v>0</v>
      </c>
      <c r="AV91" s="14">
        <f t="shared" si="18"/>
        <v>0</v>
      </c>
      <c r="AW91" s="14">
        <f t="shared" si="18"/>
        <v>0</v>
      </c>
      <c r="AX91" s="14">
        <f t="shared" si="18"/>
        <v>0</v>
      </c>
      <c r="AY91" s="14">
        <f t="shared" si="18"/>
        <v>0</v>
      </c>
      <c r="AZ91" s="14">
        <f t="shared" si="18"/>
        <v>0</v>
      </c>
    </row>
    <row r="92" spans="1:52">
      <c r="A92">
        <f>Grades!A92</f>
        <v>0</v>
      </c>
      <c r="B92">
        <f>Grades!B92</f>
        <v>0</v>
      </c>
      <c r="C92" s="12">
        <f>Grades!C92</f>
        <v>0</v>
      </c>
      <c r="D92" s="13">
        <f t="shared" si="19"/>
        <v>0</v>
      </c>
      <c r="E92" s="13"/>
      <c r="F92" s="13"/>
      <c r="G92" s="13"/>
      <c r="H92" s="13"/>
      <c r="I92" s="13"/>
      <c r="J92" s="13"/>
      <c r="K92" s="13"/>
      <c r="L92" s="13"/>
      <c r="M92" s="13"/>
      <c r="N92" s="13"/>
      <c r="O92" s="13"/>
      <c r="P92" s="13"/>
      <c r="Q92" s="13"/>
      <c r="R92" s="13"/>
      <c r="S92" s="13"/>
      <c r="T92" s="13"/>
      <c r="U92" s="13"/>
      <c r="V92" s="13"/>
      <c r="W92" s="13"/>
      <c r="X92" s="13"/>
      <c r="Y92" s="13"/>
      <c r="Z92" s="13"/>
      <c r="AB92" s="13">
        <f t="shared" si="20"/>
        <v>0</v>
      </c>
      <c r="AC92" s="13">
        <f t="shared" si="21"/>
        <v>0</v>
      </c>
      <c r="AD92" s="13">
        <f t="shared" si="22"/>
        <v>0</v>
      </c>
      <c r="AE92" s="13">
        <f t="shared" si="23"/>
        <v>0</v>
      </c>
      <c r="AF92" s="13">
        <f t="shared" si="24"/>
        <v>0</v>
      </c>
      <c r="AG92" s="13">
        <f t="shared" si="25"/>
        <v>0</v>
      </c>
      <c r="AH92" s="13">
        <f t="shared" si="26"/>
        <v>0</v>
      </c>
      <c r="AI92" s="13">
        <f t="shared" si="27"/>
        <v>0</v>
      </c>
      <c r="AJ92" s="13">
        <f t="shared" si="28"/>
        <v>0</v>
      </c>
      <c r="AK92" s="13">
        <f t="shared" si="29"/>
        <v>0</v>
      </c>
      <c r="AL92" s="13">
        <f t="shared" si="30"/>
        <v>0</v>
      </c>
      <c r="AM92" s="13">
        <f t="shared" si="31"/>
        <v>0</v>
      </c>
      <c r="AO92" s="14">
        <f t="shared" si="17"/>
        <v>0</v>
      </c>
      <c r="AP92" s="14">
        <f t="shared" si="17"/>
        <v>0</v>
      </c>
      <c r="AQ92" s="14">
        <f t="shared" si="17"/>
        <v>0</v>
      </c>
      <c r="AR92" s="14">
        <f t="shared" si="18"/>
        <v>0</v>
      </c>
      <c r="AS92" s="14">
        <f t="shared" si="18"/>
        <v>0</v>
      </c>
      <c r="AT92" s="14">
        <f t="shared" si="18"/>
        <v>0</v>
      </c>
      <c r="AU92" s="14">
        <f t="shared" si="18"/>
        <v>0</v>
      </c>
      <c r="AV92" s="14">
        <f t="shared" si="18"/>
        <v>0</v>
      </c>
      <c r="AW92" s="14">
        <f t="shared" si="18"/>
        <v>0</v>
      </c>
      <c r="AX92" s="14">
        <f t="shared" si="18"/>
        <v>0</v>
      </c>
      <c r="AY92" s="14">
        <f t="shared" si="18"/>
        <v>0</v>
      </c>
      <c r="AZ92" s="14">
        <f t="shared" si="18"/>
        <v>0</v>
      </c>
    </row>
    <row r="93" spans="1:52">
      <c r="A93">
        <f>Grades!A93</f>
        <v>0</v>
      </c>
      <c r="B93">
        <f>Grades!B93</f>
        <v>0</v>
      </c>
      <c r="C93" s="12">
        <f>Grades!C93</f>
        <v>0</v>
      </c>
      <c r="D93" s="13">
        <f t="shared" si="19"/>
        <v>0</v>
      </c>
      <c r="E93" s="13"/>
      <c r="F93" s="13"/>
      <c r="G93" s="13"/>
      <c r="H93" s="13"/>
      <c r="I93" s="13"/>
      <c r="J93" s="13"/>
      <c r="K93" s="13"/>
      <c r="L93" s="13"/>
      <c r="M93" s="13"/>
      <c r="N93" s="13"/>
      <c r="O93" s="13"/>
      <c r="P93" s="13"/>
      <c r="Q93" s="13"/>
      <c r="R93" s="13"/>
      <c r="S93" s="13"/>
      <c r="T93" s="13"/>
      <c r="U93" s="13"/>
      <c r="V93" s="13"/>
      <c r="W93" s="13"/>
      <c r="X93" s="13"/>
      <c r="Y93" s="13"/>
      <c r="Z93" s="13"/>
      <c r="AB93" s="13">
        <f t="shared" si="20"/>
        <v>0</v>
      </c>
      <c r="AC93" s="13">
        <f t="shared" si="21"/>
        <v>0</v>
      </c>
      <c r="AD93" s="13">
        <f t="shared" si="22"/>
        <v>0</v>
      </c>
      <c r="AE93" s="13">
        <f t="shared" si="23"/>
        <v>0</v>
      </c>
      <c r="AF93" s="13">
        <f t="shared" si="24"/>
        <v>0</v>
      </c>
      <c r="AG93" s="13">
        <f t="shared" si="25"/>
        <v>0</v>
      </c>
      <c r="AH93" s="13">
        <f t="shared" si="26"/>
        <v>0</v>
      </c>
      <c r="AI93" s="13">
        <f t="shared" si="27"/>
        <v>0</v>
      </c>
      <c r="AJ93" s="13">
        <f t="shared" si="28"/>
        <v>0</v>
      </c>
      <c r="AK93" s="13">
        <f t="shared" si="29"/>
        <v>0</v>
      </c>
      <c r="AL93" s="13">
        <f t="shared" si="30"/>
        <v>0</v>
      </c>
      <c r="AM93" s="13">
        <f t="shared" si="31"/>
        <v>0</v>
      </c>
      <c r="AO93" s="14">
        <f t="shared" si="17"/>
        <v>0</v>
      </c>
      <c r="AP93" s="14">
        <f t="shared" si="17"/>
        <v>0</v>
      </c>
      <c r="AQ93" s="14">
        <f t="shared" si="17"/>
        <v>0</v>
      </c>
      <c r="AR93" s="14">
        <f t="shared" si="18"/>
        <v>0</v>
      </c>
      <c r="AS93" s="14">
        <f t="shared" si="18"/>
        <v>0</v>
      </c>
      <c r="AT93" s="14">
        <f t="shared" si="18"/>
        <v>0</v>
      </c>
      <c r="AU93" s="14">
        <f t="shared" si="18"/>
        <v>0</v>
      </c>
      <c r="AV93" s="14">
        <f t="shared" si="18"/>
        <v>0</v>
      </c>
      <c r="AW93" s="14">
        <f t="shared" si="18"/>
        <v>0</v>
      </c>
      <c r="AX93" s="14">
        <f t="shared" si="18"/>
        <v>0</v>
      </c>
      <c r="AY93" s="14">
        <f t="shared" si="18"/>
        <v>0</v>
      </c>
      <c r="AZ93" s="14">
        <f t="shared" si="18"/>
        <v>0</v>
      </c>
    </row>
    <row r="94" spans="1:52">
      <c r="A94">
        <f>Grades!A94</f>
        <v>0</v>
      </c>
      <c r="B94">
        <f>Grades!B94</f>
        <v>0</v>
      </c>
      <c r="C94" s="12">
        <f>Grades!C94</f>
        <v>0</v>
      </c>
      <c r="D94" s="13">
        <f t="shared" si="19"/>
        <v>0</v>
      </c>
      <c r="E94" s="13"/>
      <c r="F94" s="13"/>
      <c r="G94" s="13"/>
      <c r="H94" s="13"/>
      <c r="I94" s="13"/>
      <c r="J94" s="13"/>
      <c r="K94" s="13"/>
      <c r="L94" s="13"/>
      <c r="M94" s="13"/>
      <c r="N94" s="13"/>
      <c r="O94" s="13"/>
      <c r="P94" s="13"/>
      <c r="Q94" s="13"/>
      <c r="R94" s="13"/>
      <c r="S94" s="13"/>
      <c r="T94" s="13"/>
      <c r="U94" s="13"/>
      <c r="V94" s="13"/>
      <c r="W94" s="13"/>
      <c r="X94" s="13"/>
      <c r="Y94" s="13"/>
      <c r="Z94" s="13"/>
      <c r="AB94" s="13">
        <f t="shared" si="20"/>
        <v>0</v>
      </c>
      <c r="AC94" s="13">
        <f t="shared" si="21"/>
        <v>0</v>
      </c>
      <c r="AD94" s="13">
        <f t="shared" si="22"/>
        <v>0</v>
      </c>
      <c r="AE94" s="13">
        <f t="shared" si="23"/>
        <v>0</v>
      </c>
      <c r="AF94" s="13">
        <f t="shared" si="24"/>
        <v>0</v>
      </c>
      <c r="AG94" s="13">
        <f t="shared" si="25"/>
        <v>0</v>
      </c>
      <c r="AH94" s="13">
        <f t="shared" si="26"/>
        <v>0</v>
      </c>
      <c r="AI94" s="13">
        <f t="shared" si="27"/>
        <v>0</v>
      </c>
      <c r="AJ94" s="13">
        <f t="shared" si="28"/>
        <v>0</v>
      </c>
      <c r="AK94" s="13">
        <f t="shared" si="29"/>
        <v>0</v>
      </c>
      <c r="AL94" s="13">
        <f t="shared" si="30"/>
        <v>0</v>
      </c>
      <c r="AM94" s="13">
        <f t="shared" si="31"/>
        <v>0</v>
      </c>
      <c r="AO94" s="14">
        <f t="shared" si="17"/>
        <v>0</v>
      </c>
      <c r="AP94" s="14">
        <f t="shared" si="17"/>
        <v>0</v>
      </c>
      <c r="AQ94" s="14">
        <f t="shared" si="17"/>
        <v>0</v>
      </c>
      <c r="AR94" s="14">
        <f t="shared" si="18"/>
        <v>0</v>
      </c>
      <c r="AS94" s="14">
        <f t="shared" si="18"/>
        <v>0</v>
      </c>
      <c r="AT94" s="14">
        <f t="shared" si="18"/>
        <v>0</v>
      </c>
      <c r="AU94" s="14">
        <f t="shared" si="18"/>
        <v>0</v>
      </c>
      <c r="AV94" s="14">
        <f t="shared" si="18"/>
        <v>0</v>
      </c>
      <c r="AW94" s="14">
        <f t="shared" si="18"/>
        <v>0</v>
      </c>
      <c r="AX94" s="14">
        <f t="shared" si="18"/>
        <v>0</v>
      </c>
      <c r="AY94" s="14">
        <f t="shared" si="18"/>
        <v>0</v>
      </c>
      <c r="AZ94" s="14">
        <f t="shared" si="18"/>
        <v>0</v>
      </c>
    </row>
    <row r="95" spans="1:52">
      <c r="A95">
        <f>Grades!A95</f>
        <v>0</v>
      </c>
      <c r="B95">
        <f>Grades!B95</f>
        <v>0</v>
      </c>
      <c r="C95" s="12">
        <f>Grades!C95</f>
        <v>0</v>
      </c>
      <c r="D95" s="13">
        <f t="shared" si="19"/>
        <v>0</v>
      </c>
      <c r="E95" s="13"/>
      <c r="F95" s="13"/>
      <c r="G95" s="13"/>
      <c r="H95" s="13"/>
      <c r="I95" s="13"/>
      <c r="J95" s="13"/>
      <c r="K95" s="13"/>
      <c r="L95" s="13"/>
      <c r="M95" s="13"/>
      <c r="N95" s="13"/>
      <c r="O95" s="13"/>
      <c r="P95" s="13"/>
      <c r="Q95" s="13"/>
      <c r="R95" s="13"/>
      <c r="S95" s="13"/>
      <c r="T95" s="13"/>
      <c r="U95" s="13"/>
      <c r="V95" s="13"/>
      <c r="W95" s="13"/>
      <c r="X95" s="13"/>
      <c r="Y95" s="13"/>
      <c r="Z95" s="13"/>
      <c r="AB95" s="13">
        <f t="shared" si="20"/>
        <v>0</v>
      </c>
      <c r="AC95" s="13">
        <f t="shared" si="21"/>
        <v>0</v>
      </c>
      <c r="AD95" s="13">
        <f t="shared" si="22"/>
        <v>0</v>
      </c>
      <c r="AE95" s="13">
        <f t="shared" si="23"/>
        <v>0</v>
      </c>
      <c r="AF95" s="13">
        <f t="shared" si="24"/>
        <v>0</v>
      </c>
      <c r="AG95" s="13">
        <f t="shared" si="25"/>
        <v>0</v>
      </c>
      <c r="AH95" s="13">
        <f t="shared" si="26"/>
        <v>0</v>
      </c>
      <c r="AI95" s="13">
        <f t="shared" si="27"/>
        <v>0</v>
      </c>
      <c r="AJ95" s="13">
        <f t="shared" si="28"/>
        <v>0</v>
      </c>
      <c r="AK95" s="13">
        <f t="shared" si="29"/>
        <v>0</v>
      </c>
      <c r="AL95" s="13">
        <f t="shared" si="30"/>
        <v>0</v>
      </c>
      <c r="AM95" s="13">
        <f t="shared" si="31"/>
        <v>0</v>
      </c>
      <c r="AO95" s="14">
        <f t="shared" si="17"/>
        <v>0</v>
      </c>
      <c r="AP95" s="14">
        <f t="shared" si="17"/>
        <v>0</v>
      </c>
      <c r="AQ95" s="14">
        <f t="shared" si="17"/>
        <v>0</v>
      </c>
      <c r="AR95" s="14">
        <f t="shared" si="18"/>
        <v>0</v>
      </c>
      <c r="AS95" s="14">
        <f t="shared" si="18"/>
        <v>0</v>
      </c>
      <c r="AT95" s="14">
        <f t="shared" si="18"/>
        <v>0</v>
      </c>
      <c r="AU95" s="14">
        <f t="shared" si="18"/>
        <v>0</v>
      </c>
      <c r="AV95" s="14">
        <f t="shared" si="18"/>
        <v>0</v>
      </c>
      <c r="AW95" s="14">
        <f t="shared" si="18"/>
        <v>0</v>
      </c>
      <c r="AX95" s="14">
        <f t="shared" si="18"/>
        <v>0</v>
      </c>
      <c r="AY95" s="14">
        <f t="shared" si="18"/>
        <v>0</v>
      </c>
      <c r="AZ95" s="14">
        <f t="shared" si="18"/>
        <v>0</v>
      </c>
    </row>
    <row r="96" spans="1:52">
      <c r="A96">
        <f>Grades!A96</f>
        <v>0</v>
      </c>
      <c r="B96">
        <f>Grades!B96</f>
        <v>0</v>
      </c>
      <c r="C96" s="12">
        <f>Grades!C96</f>
        <v>0</v>
      </c>
      <c r="D96" s="13">
        <f t="shared" si="19"/>
        <v>0</v>
      </c>
      <c r="E96" s="13"/>
      <c r="F96" s="13"/>
      <c r="G96" s="13"/>
      <c r="H96" s="13"/>
      <c r="I96" s="13"/>
      <c r="J96" s="13"/>
      <c r="K96" s="13"/>
      <c r="L96" s="13"/>
      <c r="M96" s="13"/>
      <c r="N96" s="13"/>
      <c r="O96" s="13"/>
      <c r="P96" s="13"/>
      <c r="Q96" s="13"/>
      <c r="R96" s="13"/>
      <c r="S96" s="13"/>
      <c r="T96" s="13"/>
      <c r="U96" s="13"/>
      <c r="V96" s="13"/>
      <c r="W96" s="13"/>
      <c r="X96" s="13"/>
      <c r="Y96" s="13"/>
      <c r="Z96" s="13"/>
      <c r="AB96" s="13">
        <f t="shared" si="20"/>
        <v>0</v>
      </c>
      <c r="AC96" s="13">
        <f t="shared" si="21"/>
        <v>0</v>
      </c>
      <c r="AD96" s="13">
        <f t="shared" si="22"/>
        <v>0</v>
      </c>
      <c r="AE96" s="13">
        <f t="shared" si="23"/>
        <v>0</v>
      </c>
      <c r="AF96" s="13">
        <f t="shared" si="24"/>
        <v>0</v>
      </c>
      <c r="AG96" s="13">
        <f t="shared" si="25"/>
        <v>0</v>
      </c>
      <c r="AH96" s="13">
        <f t="shared" si="26"/>
        <v>0</v>
      </c>
      <c r="AI96" s="13">
        <f t="shared" si="27"/>
        <v>0</v>
      </c>
      <c r="AJ96" s="13">
        <f t="shared" si="28"/>
        <v>0</v>
      </c>
      <c r="AK96" s="13">
        <f t="shared" si="29"/>
        <v>0</v>
      </c>
      <c r="AL96" s="13">
        <f t="shared" si="30"/>
        <v>0</v>
      </c>
      <c r="AM96" s="13">
        <f t="shared" si="31"/>
        <v>0</v>
      </c>
      <c r="AO96" s="14">
        <f t="shared" si="17"/>
        <v>0</v>
      </c>
      <c r="AP96" s="14">
        <f t="shared" si="17"/>
        <v>0</v>
      </c>
      <c r="AQ96" s="14">
        <f t="shared" si="17"/>
        <v>0</v>
      </c>
      <c r="AR96" s="14">
        <f t="shared" si="18"/>
        <v>0</v>
      </c>
      <c r="AS96" s="14">
        <f t="shared" si="18"/>
        <v>0</v>
      </c>
      <c r="AT96" s="14">
        <f t="shared" si="18"/>
        <v>0</v>
      </c>
      <c r="AU96" s="14">
        <f t="shared" si="18"/>
        <v>0</v>
      </c>
      <c r="AV96" s="14">
        <f t="shared" si="18"/>
        <v>0</v>
      </c>
      <c r="AW96" s="14">
        <f t="shared" si="18"/>
        <v>0</v>
      </c>
      <c r="AX96" s="14">
        <f t="shared" si="18"/>
        <v>0</v>
      </c>
      <c r="AY96" s="14">
        <f t="shared" si="18"/>
        <v>0</v>
      </c>
      <c r="AZ96" s="14">
        <f t="shared" si="18"/>
        <v>0</v>
      </c>
    </row>
    <row r="97" spans="1:52">
      <c r="A97">
        <f>Grades!A97</f>
        <v>0</v>
      </c>
      <c r="B97">
        <f>Grades!B97</f>
        <v>0</v>
      </c>
      <c r="C97" s="12">
        <f>Grades!C97</f>
        <v>0</v>
      </c>
      <c r="D97" s="13">
        <f t="shared" si="19"/>
        <v>0</v>
      </c>
      <c r="E97" s="13"/>
      <c r="F97" s="13"/>
      <c r="G97" s="13"/>
      <c r="H97" s="13"/>
      <c r="I97" s="13"/>
      <c r="J97" s="13"/>
      <c r="K97" s="13"/>
      <c r="L97" s="13"/>
      <c r="M97" s="13"/>
      <c r="N97" s="13"/>
      <c r="O97" s="13"/>
      <c r="P97" s="13"/>
      <c r="Q97" s="13"/>
      <c r="R97" s="13"/>
      <c r="S97" s="13"/>
      <c r="T97" s="13"/>
      <c r="U97" s="13"/>
      <c r="V97" s="13"/>
      <c r="W97" s="13"/>
      <c r="X97" s="13"/>
      <c r="Y97" s="13"/>
      <c r="Z97" s="13"/>
      <c r="AB97" s="13">
        <f t="shared" si="20"/>
        <v>0</v>
      </c>
      <c r="AC97" s="13">
        <f t="shared" si="21"/>
        <v>0</v>
      </c>
      <c r="AD97" s="13">
        <f t="shared" si="22"/>
        <v>0</v>
      </c>
      <c r="AE97" s="13">
        <f t="shared" si="23"/>
        <v>0</v>
      </c>
      <c r="AF97" s="13">
        <f t="shared" si="24"/>
        <v>0</v>
      </c>
      <c r="AG97" s="13">
        <f t="shared" si="25"/>
        <v>0</v>
      </c>
      <c r="AH97" s="13">
        <f t="shared" si="26"/>
        <v>0</v>
      </c>
      <c r="AI97" s="13">
        <f t="shared" si="27"/>
        <v>0</v>
      </c>
      <c r="AJ97" s="13">
        <f t="shared" si="28"/>
        <v>0</v>
      </c>
      <c r="AK97" s="13">
        <f t="shared" si="29"/>
        <v>0</v>
      </c>
      <c r="AL97" s="13">
        <f t="shared" si="30"/>
        <v>0</v>
      </c>
      <c r="AM97" s="13">
        <f t="shared" si="31"/>
        <v>0</v>
      </c>
      <c r="AO97" s="14">
        <f t="shared" si="17"/>
        <v>0</v>
      </c>
      <c r="AP97" s="14">
        <f t="shared" si="17"/>
        <v>0</v>
      </c>
      <c r="AQ97" s="14">
        <f t="shared" si="17"/>
        <v>0</v>
      </c>
      <c r="AR97" s="14">
        <f t="shared" si="18"/>
        <v>0</v>
      </c>
      <c r="AS97" s="14">
        <f t="shared" si="18"/>
        <v>0</v>
      </c>
      <c r="AT97" s="14">
        <f t="shared" si="18"/>
        <v>0</v>
      </c>
      <c r="AU97" s="14">
        <f t="shared" ref="AU97:AZ100" si="32">IF(AH$9&gt;0,AH97/AH$9,0)</f>
        <v>0</v>
      </c>
      <c r="AV97" s="14">
        <f t="shared" si="32"/>
        <v>0</v>
      </c>
      <c r="AW97" s="14">
        <f t="shared" si="32"/>
        <v>0</v>
      </c>
      <c r="AX97" s="14">
        <f t="shared" si="32"/>
        <v>0</v>
      </c>
      <c r="AY97" s="14">
        <f t="shared" si="32"/>
        <v>0</v>
      </c>
      <c r="AZ97" s="14">
        <f t="shared" si="32"/>
        <v>0</v>
      </c>
    </row>
    <row r="98" spans="1:52">
      <c r="A98">
        <f>Grades!A98</f>
        <v>0</v>
      </c>
      <c r="B98">
        <f>Grades!B98</f>
        <v>0</v>
      </c>
      <c r="C98" s="12">
        <f>Grades!C98</f>
        <v>0</v>
      </c>
      <c r="D98" s="13">
        <f t="shared" si="19"/>
        <v>0</v>
      </c>
      <c r="E98" s="13"/>
      <c r="F98" s="13"/>
      <c r="G98" s="13"/>
      <c r="H98" s="13"/>
      <c r="I98" s="13"/>
      <c r="J98" s="13"/>
      <c r="K98" s="13"/>
      <c r="L98" s="13"/>
      <c r="M98" s="13"/>
      <c r="N98" s="13"/>
      <c r="O98" s="13"/>
      <c r="P98" s="13"/>
      <c r="Q98" s="13"/>
      <c r="R98" s="13"/>
      <c r="S98" s="13"/>
      <c r="T98" s="13"/>
      <c r="U98" s="13"/>
      <c r="V98" s="13"/>
      <c r="W98" s="13"/>
      <c r="X98" s="13"/>
      <c r="Y98" s="13"/>
      <c r="Z98" s="13"/>
      <c r="AB98" s="13">
        <f t="shared" si="20"/>
        <v>0</v>
      </c>
      <c r="AC98" s="13">
        <f t="shared" si="21"/>
        <v>0</v>
      </c>
      <c r="AD98" s="13">
        <f t="shared" si="22"/>
        <v>0</v>
      </c>
      <c r="AE98" s="13">
        <f t="shared" si="23"/>
        <v>0</v>
      </c>
      <c r="AF98" s="13">
        <f t="shared" si="24"/>
        <v>0</v>
      </c>
      <c r="AG98" s="13">
        <f t="shared" si="25"/>
        <v>0</v>
      </c>
      <c r="AH98" s="13">
        <f t="shared" si="26"/>
        <v>0</v>
      </c>
      <c r="AI98" s="13">
        <f t="shared" si="27"/>
        <v>0</v>
      </c>
      <c r="AJ98" s="13">
        <f t="shared" si="28"/>
        <v>0</v>
      </c>
      <c r="AK98" s="13">
        <f t="shared" si="29"/>
        <v>0</v>
      </c>
      <c r="AL98" s="13">
        <f t="shared" si="30"/>
        <v>0</v>
      </c>
      <c r="AM98" s="13">
        <f t="shared" si="31"/>
        <v>0</v>
      </c>
      <c r="AO98" s="14">
        <f t="shared" si="17"/>
        <v>0</v>
      </c>
      <c r="AP98" s="14">
        <f t="shared" si="17"/>
        <v>0</v>
      </c>
      <c r="AQ98" s="14">
        <f t="shared" si="17"/>
        <v>0</v>
      </c>
      <c r="AR98" s="14">
        <f t="shared" si="17"/>
        <v>0</v>
      </c>
      <c r="AS98" s="14">
        <f t="shared" si="17"/>
        <v>0</v>
      </c>
      <c r="AT98" s="14">
        <f t="shared" si="17"/>
        <v>0</v>
      </c>
      <c r="AU98" s="14">
        <f t="shared" si="32"/>
        <v>0</v>
      </c>
      <c r="AV98" s="14">
        <f t="shared" si="32"/>
        <v>0</v>
      </c>
      <c r="AW98" s="14">
        <f t="shared" si="32"/>
        <v>0</v>
      </c>
      <c r="AX98" s="14">
        <f t="shared" si="32"/>
        <v>0</v>
      </c>
      <c r="AY98" s="14">
        <f t="shared" si="32"/>
        <v>0</v>
      </c>
      <c r="AZ98" s="14">
        <f t="shared" si="32"/>
        <v>0</v>
      </c>
    </row>
    <row r="99" spans="1:52">
      <c r="A99">
        <f>Grades!A99</f>
        <v>0</v>
      </c>
      <c r="B99">
        <f>Grades!B99</f>
        <v>0</v>
      </c>
      <c r="C99" s="12">
        <f>Grades!C99</f>
        <v>0</v>
      </c>
      <c r="D99" s="13">
        <f t="shared" si="19"/>
        <v>0</v>
      </c>
      <c r="E99" s="13"/>
      <c r="F99" s="13"/>
      <c r="G99" s="13"/>
      <c r="H99" s="13"/>
      <c r="I99" s="13"/>
      <c r="J99" s="13"/>
      <c r="K99" s="13"/>
      <c r="L99" s="13"/>
      <c r="M99" s="13"/>
      <c r="N99" s="13"/>
      <c r="O99" s="13"/>
      <c r="P99" s="13"/>
      <c r="Q99" s="13"/>
      <c r="R99" s="13"/>
      <c r="S99" s="13"/>
      <c r="T99" s="13"/>
      <c r="U99" s="13"/>
      <c r="V99" s="13"/>
      <c r="W99" s="13"/>
      <c r="X99" s="13"/>
      <c r="Y99" s="13"/>
      <c r="Z99" s="13"/>
      <c r="AB99" s="13">
        <f t="shared" si="20"/>
        <v>0</v>
      </c>
      <c r="AC99" s="13">
        <f t="shared" si="21"/>
        <v>0</v>
      </c>
      <c r="AD99" s="13">
        <f t="shared" si="22"/>
        <v>0</v>
      </c>
      <c r="AE99" s="13">
        <f t="shared" si="23"/>
        <v>0</v>
      </c>
      <c r="AF99" s="13">
        <f t="shared" si="24"/>
        <v>0</v>
      </c>
      <c r="AG99" s="13">
        <f t="shared" si="25"/>
        <v>0</v>
      </c>
      <c r="AH99" s="13">
        <f t="shared" si="26"/>
        <v>0</v>
      </c>
      <c r="AI99" s="13">
        <f t="shared" si="27"/>
        <v>0</v>
      </c>
      <c r="AJ99" s="13">
        <f t="shared" si="28"/>
        <v>0</v>
      </c>
      <c r="AK99" s="13">
        <f t="shared" si="29"/>
        <v>0</v>
      </c>
      <c r="AL99" s="13">
        <f t="shared" si="30"/>
        <v>0</v>
      </c>
      <c r="AM99" s="13">
        <f t="shared" si="31"/>
        <v>0</v>
      </c>
      <c r="AO99" s="14">
        <f t="shared" si="17"/>
        <v>0</v>
      </c>
      <c r="AP99" s="14">
        <f t="shared" si="17"/>
        <v>0</v>
      </c>
      <c r="AQ99" s="14">
        <f t="shared" si="17"/>
        <v>0</v>
      </c>
      <c r="AR99" s="14">
        <f t="shared" si="17"/>
        <v>0</v>
      </c>
      <c r="AS99" s="14">
        <f t="shared" si="17"/>
        <v>0</v>
      </c>
      <c r="AT99" s="14">
        <f t="shared" si="17"/>
        <v>0</v>
      </c>
      <c r="AU99" s="14">
        <f t="shared" si="32"/>
        <v>0</v>
      </c>
      <c r="AV99" s="14">
        <f t="shared" si="32"/>
        <v>0</v>
      </c>
      <c r="AW99" s="14">
        <f t="shared" si="32"/>
        <v>0</v>
      </c>
      <c r="AX99" s="14">
        <f t="shared" si="32"/>
        <v>0</v>
      </c>
      <c r="AY99" s="14">
        <f t="shared" si="32"/>
        <v>0</v>
      </c>
      <c r="AZ99" s="14">
        <f t="shared" si="32"/>
        <v>0</v>
      </c>
    </row>
    <row r="100" spans="1:52">
      <c r="A100">
        <f>Grades!A100</f>
        <v>0</v>
      </c>
      <c r="B100">
        <f>Grades!B100</f>
        <v>0</v>
      </c>
      <c r="C100" s="12">
        <f>Grades!C100</f>
        <v>0</v>
      </c>
      <c r="D100" s="13">
        <f t="shared" si="19"/>
        <v>0</v>
      </c>
      <c r="E100" s="13"/>
      <c r="F100" s="13"/>
      <c r="G100" s="13"/>
      <c r="H100" s="13"/>
      <c r="I100" s="13"/>
      <c r="J100" s="13"/>
      <c r="K100" s="13"/>
      <c r="L100" s="13"/>
      <c r="M100" s="13"/>
      <c r="N100" s="13"/>
      <c r="O100" s="13"/>
      <c r="P100" s="13"/>
      <c r="Q100" s="13"/>
      <c r="R100" s="13"/>
      <c r="S100" s="13"/>
      <c r="T100" s="13"/>
      <c r="U100" s="13"/>
      <c r="V100" s="13"/>
      <c r="W100" s="13"/>
      <c r="X100" s="13"/>
      <c r="Y100" s="13"/>
      <c r="Z100" s="13"/>
      <c r="AB100" s="13">
        <f t="shared" si="20"/>
        <v>0</v>
      </c>
      <c r="AC100" s="13">
        <f t="shared" si="21"/>
        <v>0</v>
      </c>
      <c r="AD100" s="13">
        <f t="shared" si="22"/>
        <v>0</v>
      </c>
      <c r="AE100" s="13">
        <f t="shared" si="23"/>
        <v>0</v>
      </c>
      <c r="AF100" s="13">
        <f t="shared" si="24"/>
        <v>0</v>
      </c>
      <c r="AG100" s="13">
        <f t="shared" si="25"/>
        <v>0</v>
      </c>
      <c r="AH100" s="13">
        <f t="shared" si="26"/>
        <v>0</v>
      </c>
      <c r="AI100" s="13">
        <f t="shared" si="27"/>
        <v>0</v>
      </c>
      <c r="AJ100" s="13">
        <f t="shared" si="28"/>
        <v>0</v>
      </c>
      <c r="AK100" s="13">
        <f t="shared" si="29"/>
        <v>0</v>
      </c>
      <c r="AL100" s="13">
        <f t="shared" si="30"/>
        <v>0</v>
      </c>
      <c r="AM100" s="13">
        <f t="shared" si="31"/>
        <v>0</v>
      </c>
      <c r="AO100" s="14">
        <f t="shared" si="17"/>
        <v>0</v>
      </c>
      <c r="AP100" s="14">
        <f t="shared" si="17"/>
        <v>0</v>
      </c>
      <c r="AQ100" s="14">
        <f t="shared" si="17"/>
        <v>0</v>
      </c>
      <c r="AR100" s="14">
        <f t="shared" si="17"/>
        <v>0</v>
      </c>
      <c r="AS100" s="14">
        <f t="shared" si="17"/>
        <v>0</v>
      </c>
      <c r="AT100" s="14">
        <f t="shared" si="17"/>
        <v>0</v>
      </c>
      <c r="AU100" s="14">
        <f t="shared" si="32"/>
        <v>0</v>
      </c>
      <c r="AV100" s="14">
        <f t="shared" si="32"/>
        <v>0</v>
      </c>
      <c r="AW100" s="14">
        <f t="shared" si="32"/>
        <v>0</v>
      </c>
      <c r="AX100" s="14">
        <f t="shared" si="32"/>
        <v>0</v>
      </c>
      <c r="AY100" s="14">
        <f t="shared" si="32"/>
        <v>0</v>
      </c>
      <c r="AZ100" s="14">
        <f t="shared" si="32"/>
        <v>0</v>
      </c>
    </row>
  </sheetData>
  <pageMargins left="0.75" right="0.75" top="1" bottom="1" header="0.5" footer="0.5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btnFourth_Click">
                <anchor moveWithCells="1" sizeWithCells="1">
                  <from>
                    <xdr:col>6</xdr:col>
                    <xdr:colOff>0</xdr:colOff>
                    <xdr:row>1</xdr:row>
                    <xdr:rowOff>9525</xdr:rowOff>
                  </from>
                  <to>
                    <xdr:col>8</xdr:col>
                    <xdr:colOff>28575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BM100"/>
  <sheetViews>
    <sheetView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B4" sqref="B4"/>
    </sheetView>
  </sheetViews>
  <sheetFormatPr defaultColWidth="11" defaultRowHeight="15.75"/>
  <sheetData>
    <row r="1" spans="1:65">
      <c r="A1" s="1" t="str">
        <f>CONCATENATE("Integrated Course Design Tool - ",B4)</f>
        <v xml:space="preserve">Integrated Course Design Tool - </v>
      </c>
    </row>
    <row r="2" spans="1:65">
      <c r="A2" t="s">
        <v>0</v>
      </c>
      <c r="B2" t="str">
        <f>CONCATENATE(LO!B2," (",LO!B4,")")</f>
        <v xml:space="preserve"> ()</v>
      </c>
    </row>
    <row r="3" spans="1:65">
      <c r="A3" t="s">
        <v>1</v>
      </c>
      <c r="B3">
        <f>LO!B3</f>
        <v>0</v>
      </c>
    </row>
    <row r="4" spans="1:65">
      <c r="A4" t="s">
        <v>16</v>
      </c>
    </row>
    <row r="6" spans="1:65">
      <c r="A6" s="1" t="s">
        <v>10</v>
      </c>
      <c r="B6" s="1" t="s">
        <v>11</v>
      </c>
      <c r="C6" s="1" t="s">
        <v>12</v>
      </c>
      <c r="D6" s="6" t="s">
        <v>13</v>
      </c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</row>
    <row r="7" spans="1:65">
      <c r="A7" s="1" t="s">
        <v>14</v>
      </c>
      <c r="B7" s="1" t="s">
        <v>14</v>
      </c>
      <c r="C7" s="1" t="s">
        <v>15</v>
      </c>
      <c r="D7" s="8">
        <f>SUM(E7:Z7)</f>
        <v>0</v>
      </c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B7" s="6" t="s">
        <v>90</v>
      </c>
      <c r="AC7" s="6" t="s">
        <v>91</v>
      </c>
      <c r="AD7" s="6" t="s">
        <v>92</v>
      </c>
      <c r="AE7" s="6" t="s">
        <v>93</v>
      </c>
      <c r="AF7" s="6" t="s">
        <v>94</v>
      </c>
      <c r="AG7" s="6" t="s">
        <v>95</v>
      </c>
      <c r="AH7" s="6" t="s">
        <v>96</v>
      </c>
      <c r="AI7" s="6" t="s">
        <v>97</v>
      </c>
      <c r="AJ7" s="6" t="s">
        <v>98</v>
      </c>
      <c r="AK7" s="6" t="s">
        <v>99</v>
      </c>
      <c r="AL7" s="6" t="s">
        <v>100</v>
      </c>
      <c r="AM7" s="6" t="s">
        <v>101</v>
      </c>
      <c r="AO7" s="6" t="s">
        <v>90</v>
      </c>
      <c r="AP7" s="6" t="s">
        <v>91</v>
      </c>
      <c r="AQ7" s="6" t="s">
        <v>92</v>
      </c>
      <c r="AR7" s="6" t="s">
        <v>93</v>
      </c>
      <c r="AS7" s="6" t="s">
        <v>94</v>
      </c>
      <c r="AT7" s="6" t="s">
        <v>95</v>
      </c>
      <c r="AU7" s="6" t="s">
        <v>96</v>
      </c>
      <c r="AV7" s="6" t="s">
        <v>97</v>
      </c>
      <c r="AW7" s="6" t="s">
        <v>98</v>
      </c>
      <c r="AX7" s="6" t="s">
        <v>99</v>
      </c>
      <c r="AY7" s="6" t="s">
        <v>100</v>
      </c>
      <c r="AZ7" s="6" t="s">
        <v>101</v>
      </c>
      <c r="BB7" s="6" t="s">
        <v>90</v>
      </c>
      <c r="BC7" s="6" t="s">
        <v>91</v>
      </c>
      <c r="BD7" s="6" t="s">
        <v>92</v>
      </c>
      <c r="BE7" s="6" t="s">
        <v>93</v>
      </c>
      <c r="BF7" s="6" t="s">
        <v>94</v>
      </c>
      <c r="BG7" s="6" t="s">
        <v>95</v>
      </c>
      <c r="BH7" s="6" t="s">
        <v>96</v>
      </c>
      <c r="BI7" s="6" t="s">
        <v>97</v>
      </c>
      <c r="BJ7" s="6" t="s">
        <v>98</v>
      </c>
      <c r="BK7" s="6" t="s">
        <v>99</v>
      </c>
      <c r="BL7" s="6" t="s">
        <v>100</v>
      </c>
      <c r="BM7" s="6" t="s">
        <v>101</v>
      </c>
    </row>
    <row r="8" spans="1:65" hidden="1">
      <c r="A8" s="9"/>
      <c r="B8" s="9"/>
      <c r="C8" s="9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</row>
    <row r="9" spans="1:65">
      <c r="D9" s="11" t="s">
        <v>17</v>
      </c>
      <c r="E9" s="8" t="str">
        <f>IFERROR(LEFT(INDEX(LO!$B8:$C28,MATCH(E8,LO!$B8:$B28,0),2),6),"-")</f>
        <v>-</v>
      </c>
      <c r="F9" s="8" t="str">
        <f>IFERROR(LEFT(INDEX(LO!$B8:$C28,MATCH(F8,LO!$B8:$B28,0),2),6),"-")</f>
        <v>-</v>
      </c>
      <c r="G9" s="8" t="str">
        <f>IFERROR(LEFT(INDEX(LO!$B8:$C28,MATCH(G8,LO!$B8:$B28,0),2),6),"-")</f>
        <v>-</v>
      </c>
      <c r="H9" s="8" t="str">
        <f>IFERROR(LEFT(INDEX(LO!$B8:$C28,MATCH(H8,LO!$B8:$B28,0),2),6),"-")</f>
        <v>-</v>
      </c>
      <c r="I9" s="8" t="str">
        <f>IFERROR(LEFT(INDEX(LO!$B8:$C28,MATCH(I8,LO!$B8:$B28,0),2),6),"-")</f>
        <v>-</v>
      </c>
      <c r="J9" s="8" t="str">
        <f>IFERROR(LEFT(INDEX(LO!$B8:$C28,MATCH(J8,LO!$B8:$B28,0),2),6),"-")</f>
        <v>-</v>
      </c>
      <c r="K9" s="8" t="str">
        <f>IFERROR(LEFT(INDEX(LO!$B8:$C28,MATCH(K8,LO!$B8:$B28,0),2),6),"-")</f>
        <v>-</v>
      </c>
      <c r="L9" s="8" t="str">
        <f>IFERROR(LEFT(INDEX(LO!$B8:$C28,MATCH(L8,LO!$B8:$B28,0),2),6),"-")</f>
        <v>-</v>
      </c>
      <c r="M9" s="8" t="str">
        <f>IFERROR(LEFT(INDEX(LO!$B8:$C28,MATCH(M8,LO!$B8:$B28,0),2),6),"-")</f>
        <v>-</v>
      </c>
      <c r="N9" s="8" t="str">
        <f>IFERROR(LEFT(INDEX(LO!$B8:$C28,MATCH(N8,LO!$B8:$B28,0),2),6),"-")</f>
        <v>-</v>
      </c>
      <c r="O9" s="8" t="str">
        <f>IFERROR(LEFT(INDEX(LO!$B8:$C28,MATCH(O8,LO!$B8:$B28,0),2),6),"-")</f>
        <v>-</v>
      </c>
      <c r="P9" s="8" t="str">
        <f>IFERROR(LEFT(INDEX(LO!$B8:$C28,MATCH(P8,LO!$B8:$B28,0),2),6),"-")</f>
        <v>-</v>
      </c>
      <c r="Q9" s="8" t="str">
        <f>IFERROR(LEFT(INDEX(LO!$B8:$C28,MATCH(Q8,LO!$B8:$B28,0),2),6),"-")</f>
        <v>-</v>
      </c>
      <c r="R9" s="8" t="str">
        <f>IFERROR(LEFT(INDEX(LO!$B8:$C28,MATCH(R8,LO!$B8:$B28,0),2),6),"-")</f>
        <v>-</v>
      </c>
      <c r="S9" s="8" t="str">
        <f>IFERROR(LEFT(INDEX(LO!$B8:$C28,MATCH(S8,LO!$B8:$B28,0),2),6),"-")</f>
        <v>-</v>
      </c>
      <c r="T9" s="8" t="str">
        <f>IFERROR(LEFT(INDEX(LO!$B8:$C28,MATCH(T8,LO!$B8:$B28,0),2),6),"-")</f>
        <v>-</v>
      </c>
      <c r="U9" s="8" t="str">
        <f>IFERROR(LEFT(INDEX(LO!$B8:$C28,MATCH(U8,LO!$B8:$B28,0),2),6),"-")</f>
        <v>-</v>
      </c>
      <c r="V9" s="8" t="str">
        <f>IFERROR(LEFT(INDEX(LO!$B8:$C28,MATCH(V8,LO!$B8:$B28,0),2),6),"-")</f>
        <v>-</v>
      </c>
      <c r="W9" s="8" t="str">
        <f>IFERROR(LEFT(INDEX(LO!$B8:$C28,MATCH(W8,LO!$B8:$B28,0),2),6),"-")</f>
        <v>-</v>
      </c>
      <c r="X9" s="8" t="str">
        <f>IFERROR(LEFT(INDEX(LO!$B8:$C28,MATCH(X8,LO!$B8:$B28,0),2),6),"-")</f>
        <v>-</v>
      </c>
      <c r="Y9" s="8" t="str">
        <f>IFERROR(LEFT(INDEX(LO!$B8:$C28,MATCH(Y8,LO!$B8:$B28,0),2),6),"-")</f>
        <v>-</v>
      </c>
      <c r="Z9" s="8" t="str">
        <f>IFERROR(LEFT(INDEX(LO!$B8:$C28,MATCH(Z8,LO!$B8:$B28,0),2),6),"-")</f>
        <v>-</v>
      </c>
      <c r="AB9" s="8">
        <f>SUMIF($E$9:$Z$9,"3.1.1 ",$E7:$Z7)</f>
        <v>0</v>
      </c>
      <c r="AC9" s="8">
        <f>SUMIF($E$9:$Z$9,"3.1.2 ",$E7:$Z7)</f>
        <v>0</v>
      </c>
      <c r="AD9" s="8">
        <f>SUMIF($E$9:$Z$9,"3.1.3 ",$E7:$Z7)</f>
        <v>0</v>
      </c>
      <c r="AE9" s="8">
        <f>SUMIF($E$9:$Z$9,"3.1.4 ",$E7:$Z7)</f>
        <v>0</v>
      </c>
      <c r="AF9" s="8">
        <f>SUMIF($E$9:$Z$9,"3.1.5 ",$E7:$Z7)</f>
        <v>0</v>
      </c>
      <c r="AG9" s="8">
        <f>SUMIF($E$9:$Z$9,"3.1.6 ",$E7:$Z7)</f>
        <v>0</v>
      </c>
      <c r="AH9" s="8">
        <f>SUMIF($E$9:$Z$9,"3.1.7 ",$E7:$Z7)</f>
        <v>0</v>
      </c>
      <c r="AI9" s="8">
        <f>SUMIF($E$9:$Z$9,"3.1.8 ",$E7:$Z7)</f>
        <v>0</v>
      </c>
      <c r="AJ9" s="8">
        <f>SUMIF($E$9:$Z$9,"3.1.9 ",$E7:$Z7)</f>
        <v>0</v>
      </c>
      <c r="AK9" s="8">
        <f>SUMIF($E$9:$Z$9,"3.1.10",$E7:$Z7)</f>
        <v>0</v>
      </c>
      <c r="AL9" s="8">
        <f>SUMIF($E$9:$Z$9,"3.1.11",$E7:$Z7)</f>
        <v>0</v>
      </c>
      <c r="AM9" s="8">
        <f>SUMIF($E$9:$Z$9,"3.1.12",$E7:$Z7)</f>
        <v>0</v>
      </c>
    </row>
    <row r="10" spans="1:65">
      <c r="A10" t="str">
        <f>Grades!A10</f>
        <v>Last_1</v>
      </c>
      <c r="B10" t="str">
        <f>Grades!B10</f>
        <v>First_1</v>
      </c>
      <c r="C10" s="12">
        <f>Grades!C10</f>
        <v>35680162</v>
      </c>
      <c r="D10" s="13">
        <f>SUM(E10:Z10)</f>
        <v>0</v>
      </c>
      <c r="E10" s="13"/>
      <c r="F10" s="13"/>
      <c r="G10" s="13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13"/>
      <c r="Y10" s="13"/>
      <c r="Z10" s="13"/>
      <c r="AB10" s="13">
        <f>SUMIF($E$9:$Z$9,"3.1.1 ",$E10:$Z10)</f>
        <v>0</v>
      </c>
      <c r="AC10" s="13">
        <f>SUMIF($E$9:$Z$9,"3.1.2 ",$E10:$Z10)</f>
        <v>0</v>
      </c>
      <c r="AD10" s="13">
        <f>SUMIF($E$9:$Z$9,"3.1.3 ",$E10:$Z10)</f>
        <v>0</v>
      </c>
      <c r="AE10" s="13">
        <f>SUMIF($E$9:$Z$9,"3.1.4 ",$E10:$Z10)</f>
        <v>0</v>
      </c>
      <c r="AF10" s="13">
        <f>SUMIF($E$9:$Z$9,"3.1.5 ",$E10:$Z10)</f>
        <v>0</v>
      </c>
      <c r="AG10" s="13">
        <f>SUMIF($E$9:$Z$9,"3.1.6 ",$E10:$Z10)</f>
        <v>0</v>
      </c>
      <c r="AH10" s="13">
        <f>SUMIF($E$9:$Z$9,"3.1.7 ",$E10:$Z10)</f>
        <v>0</v>
      </c>
      <c r="AI10" s="13">
        <f>SUMIF($E$9:$Z$9,"3.1.8 ",$E10:$Z10)</f>
        <v>0</v>
      </c>
      <c r="AJ10" s="13">
        <f>SUMIF($E$9:$Z$9,"3.1.9 ",$E10:$Z10)</f>
        <v>0</v>
      </c>
      <c r="AK10" s="13">
        <f>SUMIF($E$9:$Z$9,"3.1.10",$E10:$Z10)</f>
        <v>0</v>
      </c>
      <c r="AL10" s="13">
        <f>SUMIF($E$9:$Z$9,"3.1.11",$E10:$Z10)</f>
        <v>0</v>
      </c>
      <c r="AM10" s="13">
        <f>SUMIF($E$9:$Z$9,"3.1.12",$E10:$Z10)</f>
        <v>0</v>
      </c>
      <c r="AO10" s="14">
        <f>IF(AB$9&gt;0,AB10/AB$9,0)</f>
        <v>0</v>
      </c>
      <c r="AP10" s="14">
        <f t="shared" ref="AP10:AZ25" si="0">IF(AC$9&gt;0,AC10/AC$9,0)</f>
        <v>0</v>
      </c>
      <c r="AQ10" s="14">
        <f t="shared" si="0"/>
        <v>0</v>
      </c>
      <c r="AR10" s="14">
        <f t="shared" si="0"/>
        <v>0</v>
      </c>
      <c r="AS10" s="14">
        <f t="shared" si="0"/>
        <v>0</v>
      </c>
      <c r="AT10" s="14">
        <f t="shared" si="0"/>
        <v>0</v>
      </c>
      <c r="AU10" s="14">
        <f t="shared" si="0"/>
        <v>0</v>
      </c>
      <c r="AV10" s="14">
        <f t="shared" si="0"/>
        <v>0</v>
      </c>
      <c r="AW10" s="14">
        <f t="shared" si="0"/>
        <v>0</v>
      </c>
      <c r="AX10" s="14">
        <f t="shared" si="0"/>
        <v>0</v>
      </c>
      <c r="AY10" s="14">
        <f t="shared" si="0"/>
        <v>0</v>
      </c>
      <c r="AZ10" s="14">
        <f t="shared" si="0"/>
        <v>0</v>
      </c>
      <c r="BA10" s="15" t="s">
        <v>83</v>
      </c>
      <c r="BB10" s="15">
        <f>COUNTIF(AO$10:AO$100,"&gt;=" &amp; Summary!$B6)</f>
        <v>0</v>
      </c>
      <c r="BC10" s="15">
        <f>COUNTIF(AP$10:AP$100,"&gt;=" &amp; Summary!$B6)</f>
        <v>0</v>
      </c>
      <c r="BD10" s="15">
        <f>COUNTIF(AQ$10:AQ$100,"&gt;=" &amp; Summary!$B6)</f>
        <v>0</v>
      </c>
      <c r="BE10" s="15">
        <f>COUNTIF(AR$10:AR$100,"&gt;=" &amp; Summary!$B6)</f>
        <v>0</v>
      </c>
      <c r="BF10" s="15">
        <f>COUNTIF(AS$10:AS$100,"&gt;=" &amp; Summary!$B6)</f>
        <v>0</v>
      </c>
      <c r="BG10" s="15">
        <f>COUNTIF(AT$10:AT$100,"&gt;=" &amp; Summary!$B6)</f>
        <v>0</v>
      </c>
      <c r="BH10" s="15">
        <f>COUNTIF(AU$10:AU$100,"&gt;=" &amp; Summary!$B6)</f>
        <v>0</v>
      </c>
      <c r="BI10" s="15">
        <f>COUNTIF(AV$10:AV$100,"&gt;=" &amp; Summary!$B6)</f>
        <v>0</v>
      </c>
      <c r="BJ10" s="15">
        <f>COUNTIF(AW$10:AW$100,"&gt;=" &amp; Summary!$B6)</f>
        <v>0</v>
      </c>
      <c r="BK10" s="15">
        <f>COUNTIF(AX$10:AX$100,"&gt;=" &amp; Summary!$B6)</f>
        <v>0</v>
      </c>
      <c r="BL10" s="15">
        <f>COUNTIF(AY$10:AY$100,"&gt;=" &amp; Summary!$B6)</f>
        <v>0</v>
      </c>
      <c r="BM10" s="15">
        <f>COUNTIF(AZ$10:AZ$100,"&gt;=" &amp; Summary!$B6)</f>
        <v>0</v>
      </c>
    </row>
    <row r="11" spans="1:65">
      <c r="A11" t="str">
        <f>Grades!A11</f>
        <v>Last_2</v>
      </c>
      <c r="B11" t="str">
        <f>Grades!B11</f>
        <v>First_2</v>
      </c>
      <c r="C11" s="12">
        <f>Grades!C11</f>
        <v>48998132</v>
      </c>
      <c r="D11" s="13">
        <f t="shared" ref="D11:D74" si="1">SUM(E11:Z11)</f>
        <v>0</v>
      </c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3"/>
      <c r="AB11" s="13">
        <f t="shared" ref="AB11:AB74" si="2">SUMIF($E$9:$Z$9,"3.1.1 ",$E11:$Z11)</f>
        <v>0</v>
      </c>
      <c r="AC11" s="13">
        <f t="shared" ref="AC11:AC74" si="3">SUMIF($E$9:$Z$9,"3.1.2 ",$E11:$Z11)</f>
        <v>0</v>
      </c>
      <c r="AD11" s="13">
        <f t="shared" ref="AD11:AD74" si="4">SUMIF($E$9:$Z$9,"3.1.3 ",$E11:$Z11)</f>
        <v>0</v>
      </c>
      <c r="AE11" s="13">
        <f t="shared" ref="AE11:AE74" si="5">SUMIF($E$9:$Z$9,"3.1.4 ",$E11:$Z11)</f>
        <v>0</v>
      </c>
      <c r="AF11" s="13">
        <f t="shared" ref="AF11:AF74" si="6">SUMIF($E$9:$Z$9,"3.1.5 ",$E11:$Z11)</f>
        <v>0</v>
      </c>
      <c r="AG11" s="13">
        <f t="shared" ref="AG11:AG74" si="7">SUMIF($E$9:$Z$9,"3.1.6 ",$E11:$Z11)</f>
        <v>0</v>
      </c>
      <c r="AH11" s="13">
        <f t="shared" ref="AH11:AH74" si="8">SUMIF($E$9:$Z$9,"3.1.7 ",$E11:$Z11)</f>
        <v>0</v>
      </c>
      <c r="AI11" s="13">
        <f t="shared" ref="AI11:AI74" si="9">SUMIF($E$9:$Z$9,"3.1.8 ",$E11:$Z11)</f>
        <v>0</v>
      </c>
      <c r="AJ11" s="13">
        <f t="shared" ref="AJ11:AJ74" si="10">SUMIF($E$9:$Z$9,"3.1.9 ",$E11:$Z11)</f>
        <v>0</v>
      </c>
      <c r="AK11" s="13">
        <f t="shared" ref="AK11:AK74" si="11">SUMIF($E$9:$Z$9,"3.1.10",$E11:$Z11)</f>
        <v>0</v>
      </c>
      <c r="AL11" s="13">
        <f t="shared" ref="AL11:AL74" si="12">SUMIF($E$9:$Z$9,"3.1.11",$E11:$Z11)</f>
        <v>0</v>
      </c>
      <c r="AM11" s="13">
        <f t="shared" ref="AM11:AM74" si="13">SUMIF($E$9:$Z$9,"3.1.12",$E11:$Z11)</f>
        <v>0</v>
      </c>
      <c r="AO11" s="14">
        <f t="shared" ref="AO11:AZ46" si="14">IF(AB$9&gt;0,AB11/AB$9,0)</f>
        <v>0</v>
      </c>
      <c r="AP11" s="14">
        <f t="shared" si="0"/>
        <v>0</v>
      </c>
      <c r="AQ11" s="14">
        <f t="shared" si="0"/>
        <v>0</v>
      </c>
      <c r="AR11" s="14">
        <f t="shared" si="0"/>
        <v>0</v>
      </c>
      <c r="AS11" s="14">
        <f t="shared" si="0"/>
        <v>0</v>
      </c>
      <c r="AT11" s="14">
        <f t="shared" si="0"/>
        <v>0</v>
      </c>
      <c r="AU11" s="14">
        <f t="shared" si="0"/>
        <v>0</v>
      </c>
      <c r="AV11" s="14">
        <f t="shared" si="0"/>
        <v>0</v>
      </c>
      <c r="AW11" s="14">
        <f t="shared" si="0"/>
        <v>0</v>
      </c>
      <c r="AX11" s="14">
        <f t="shared" si="0"/>
        <v>0</v>
      </c>
      <c r="AY11" s="14">
        <f t="shared" si="0"/>
        <v>0</v>
      </c>
      <c r="AZ11" s="14">
        <f t="shared" si="0"/>
        <v>0</v>
      </c>
      <c r="BA11" s="15" t="s">
        <v>84</v>
      </c>
      <c r="BB11" s="18">
        <f>COUNTIF(AO$10:AO$100,"&gt;=" &amp; Summary!$B7)-BB10</f>
        <v>0</v>
      </c>
      <c r="BC11" s="18">
        <f>COUNTIF(AP$10:AP$100,"&gt;=" &amp; Summary!$B7)-BC10</f>
        <v>0</v>
      </c>
      <c r="BD11" s="18">
        <f>COUNTIF(AQ$10:AQ$100,"&gt;=" &amp; Summary!$B7)-BD10</f>
        <v>0</v>
      </c>
      <c r="BE11" s="18">
        <f>COUNTIF(AR$10:AR$100,"&gt;=" &amp; Summary!$B7)-BE10</f>
        <v>0</v>
      </c>
      <c r="BF11" s="18">
        <f>COUNTIF(AS$10:AS$100,"&gt;=" &amp; Summary!$B7)-BF10</f>
        <v>0</v>
      </c>
      <c r="BG11" s="18">
        <f>COUNTIF(AT$10:AT$100,"&gt;=" &amp; Summary!$B7)-BG10</f>
        <v>0</v>
      </c>
      <c r="BH11" s="18">
        <f>COUNTIF(AU$10:AU$100,"&gt;=" &amp; Summary!$B7)-BH10</f>
        <v>0</v>
      </c>
      <c r="BI11" s="18">
        <f>COUNTIF(AV$10:AV$100,"&gt;=" &amp; Summary!$B7)-BI10</f>
        <v>0</v>
      </c>
      <c r="BJ11" s="18">
        <f>COUNTIF(AW$10:AW$100,"&gt;=" &amp; Summary!$B7)-BJ10</f>
        <v>0</v>
      </c>
      <c r="BK11" s="18">
        <f>COUNTIF(AX$10:AX$100,"&gt;=" &amp; Summary!$B7)-BK10</f>
        <v>0</v>
      </c>
      <c r="BL11" s="18">
        <f>COUNTIF(AY$10:AY$100,"&gt;=" &amp; Summary!$B7)-BL10</f>
        <v>0</v>
      </c>
      <c r="BM11" s="18">
        <f>COUNTIF(AZ$10:AZ$100,"&gt;=" &amp; Summary!$B7)-BM10</f>
        <v>0</v>
      </c>
    </row>
    <row r="12" spans="1:65">
      <c r="A12" t="str">
        <f>Grades!A12</f>
        <v>Last_3</v>
      </c>
      <c r="B12" t="str">
        <f>Grades!B12</f>
        <v>First_3</v>
      </c>
      <c r="C12" s="12">
        <f>Grades!C12</f>
        <v>77896340</v>
      </c>
      <c r="D12" s="13">
        <f t="shared" si="1"/>
        <v>0</v>
      </c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3"/>
      <c r="Y12" s="13"/>
      <c r="Z12" s="13"/>
      <c r="AB12" s="13">
        <f t="shared" si="2"/>
        <v>0</v>
      </c>
      <c r="AC12" s="13">
        <f t="shared" si="3"/>
        <v>0</v>
      </c>
      <c r="AD12" s="13">
        <f t="shared" si="4"/>
        <v>0</v>
      </c>
      <c r="AE12" s="13">
        <f t="shared" si="5"/>
        <v>0</v>
      </c>
      <c r="AF12" s="13">
        <f t="shared" si="6"/>
        <v>0</v>
      </c>
      <c r="AG12" s="13">
        <f t="shared" si="7"/>
        <v>0</v>
      </c>
      <c r="AH12" s="13">
        <f t="shared" si="8"/>
        <v>0</v>
      </c>
      <c r="AI12" s="13">
        <f t="shared" si="9"/>
        <v>0</v>
      </c>
      <c r="AJ12" s="13">
        <f t="shared" si="10"/>
        <v>0</v>
      </c>
      <c r="AK12" s="13">
        <f t="shared" si="11"/>
        <v>0</v>
      </c>
      <c r="AL12" s="13">
        <f t="shared" si="12"/>
        <v>0</v>
      </c>
      <c r="AM12" s="13">
        <f t="shared" si="13"/>
        <v>0</v>
      </c>
      <c r="AO12" s="14">
        <f t="shared" si="14"/>
        <v>0</v>
      </c>
      <c r="AP12" s="14">
        <f t="shared" si="0"/>
        <v>0</v>
      </c>
      <c r="AQ12" s="14">
        <f t="shared" si="0"/>
        <v>0</v>
      </c>
      <c r="AR12" s="14">
        <f t="shared" si="0"/>
        <v>0</v>
      </c>
      <c r="AS12" s="14">
        <f t="shared" si="0"/>
        <v>0</v>
      </c>
      <c r="AT12" s="14">
        <f t="shared" si="0"/>
        <v>0</v>
      </c>
      <c r="AU12" s="14">
        <f t="shared" si="0"/>
        <v>0</v>
      </c>
      <c r="AV12" s="14">
        <f t="shared" si="0"/>
        <v>0</v>
      </c>
      <c r="AW12" s="14">
        <f t="shared" si="0"/>
        <v>0</v>
      </c>
      <c r="AX12" s="14">
        <f t="shared" si="0"/>
        <v>0</v>
      </c>
      <c r="AY12" s="14">
        <f t="shared" si="0"/>
        <v>0</v>
      </c>
      <c r="AZ12" s="14">
        <f t="shared" si="0"/>
        <v>0</v>
      </c>
      <c r="BA12" s="15" t="s">
        <v>85</v>
      </c>
      <c r="BB12" s="18">
        <f>COUNTIF(AO$10:AO$100,"&gt;=" &amp; Summary!$B8)-SUM(BB10:BB11)</f>
        <v>0</v>
      </c>
      <c r="BC12" s="18">
        <f>COUNTIF(AP$10:AP$100,"&gt;=" &amp; Summary!$B8)-SUM(BC10:BC11)</f>
        <v>0</v>
      </c>
      <c r="BD12" s="18">
        <f>COUNTIF(AQ$10:AQ$100,"&gt;=" &amp; Summary!$B8)-SUM(BD10:BD11)</f>
        <v>0</v>
      </c>
      <c r="BE12" s="18">
        <f>COUNTIF(AR$10:AR$100,"&gt;=" &amp; Summary!$B8)-SUM(BE10:BE11)</f>
        <v>0</v>
      </c>
      <c r="BF12" s="18">
        <f>COUNTIF(AS$10:AS$100,"&gt;=" &amp; Summary!$B8)-SUM(BF10:BF11)</f>
        <v>0</v>
      </c>
      <c r="BG12" s="18">
        <f>COUNTIF(AT$10:AT$100,"&gt;=" &amp; Summary!$B8)-SUM(BG10:BG11)</f>
        <v>0</v>
      </c>
      <c r="BH12" s="18">
        <f>COUNTIF(AU$10:AU$100,"&gt;=" &amp; Summary!$B8)-SUM(BH10:BH11)</f>
        <v>0</v>
      </c>
      <c r="BI12" s="18">
        <f>COUNTIF(AV$10:AV$100,"&gt;=" &amp; Summary!$B8)-SUM(BI10:BI11)</f>
        <v>0</v>
      </c>
      <c r="BJ12" s="18">
        <f>COUNTIF(AW$10:AW$100,"&gt;=" &amp; Summary!$B8)-SUM(BJ10:BJ11)</f>
        <v>0</v>
      </c>
      <c r="BK12" s="18">
        <f>COUNTIF(AX$10:AX$100,"&gt;=" &amp; Summary!$B8)-SUM(BK10:BK11)</f>
        <v>0</v>
      </c>
      <c r="BL12" s="18">
        <f>COUNTIF(AY$10:AY$100,"&gt;=" &amp; Summary!$B8)-SUM(BL10:BL11)</f>
        <v>0</v>
      </c>
      <c r="BM12" s="18">
        <f>COUNTIF(AZ$10:AZ$100,"&gt;=" &amp; Summary!$B8)-SUM(BM10:BM11)</f>
        <v>0</v>
      </c>
    </row>
    <row r="13" spans="1:65">
      <c r="A13" t="str">
        <f>Grades!A13</f>
        <v>Last_4</v>
      </c>
      <c r="B13" t="str">
        <f>Grades!B13</f>
        <v>First_4</v>
      </c>
      <c r="C13" s="12">
        <f>Grades!C13</f>
        <v>10472860</v>
      </c>
      <c r="D13" s="13">
        <f t="shared" si="1"/>
        <v>0</v>
      </c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B13" s="13">
        <f t="shared" si="2"/>
        <v>0</v>
      </c>
      <c r="AC13" s="13">
        <f t="shared" si="3"/>
        <v>0</v>
      </c>
      <c r="AD13" s="13">
        <f t="shared" si="4"/>
        <v>0</v>
      </c>
      <c r="AE13" s="13">
        <f t="shared" si="5"/>
        <v>0</v>
      </c>
      <c r="AF13" s="13">
        <f t="shared" si="6"/>
        <v>0</v>
      </c>
      <c r="AG13" s="13">
        <f t="shared" si="7"/>
        <v>0</v>
      </c>
      <c r="AH13" s="13">
        <f t="shared" si="8"/>
        <v>0</v>
      </c>
      <c r="AI13" s="13">
        <f t="shared" si="9"/>
        <v>0</v>
      </c>
      <c r="AJ13" s="13">
        <f t="shared" si="10"/>
        <v>0</v>
      </c>
      <c r="AK13" s="13">
        <f t="shared" si="11"/>
        <v>0</v>
      </c>
      <c r="AL13" s="13">
        <f t="shared" si="12"/>
        <v>0</v>
      </c>
      <c r="AM13" s="13">
        <f t="shared" si="13"/>
        <v>0</v>
      </c>
      <c r="AO13" s="14">
        <f t="shared" si="14"/>
        <v>0</v>
      </c>
      <c r="AP13" s="14">
        <f t="shared" si="0"/>
        <v>0</v>
      </c>
      <c r="AQ13" s="14">
        <f t="shared" si="0"/>
        <v>0</v>
      </c>
      <c r="AR13" s="14">
        <f t="shared" si="0"/>
        <v>0</v>
      </c>
      <c r="AS13" s="14">
        <f t="shared" si="0"/>
        <v>0</v>
      </c>
      <c r="AT13" s="14">
        <f t="shared" si="0"/>
        <v>0</v>
      </c>
      <c r="AU13" s="14">
        <f t="shared" si="0"/>
        <v>0</v>
      </c>
      <c r="AV13" s="14">
        <f t="shared" si="0"/>
        <v>0</v>
      </c>
      <c r="AW13" s="14">
        <f t="shared" si="0"/>
        <v>0</v>
      </c>
      <c r="AX13" s="14">
        <f t="shared" si="0"/>
        <v>0</v>
      </c>
      <c r="AY13" s="14">
        <f t="shared" si="0"/>
        <v>0</v>
      </c>
      <c r="AZ13" s="14">
        <f t="shared" si="0"/>
        <v>0</v>
      </c>
      <c r="BA13" s="15" t="s">
        <v>86</v>
      </c>
      <c r="BB13" s="18">
        <f>COUNTIF(AO$10:AO$100,"&gt;=" &amp; Summary!$B9)-SUM(BB10:BB12)</f>
        <v>0</v>
      </c>
      <c r="BC13" s="18">
        <f>COUNTIF(AP$10:AP$100,"&gt;=" &amp; Summary!$B9)-SUM(BC10:BC12)</f>
        <v>0</v>
      </c>
      <c r="BD13" s="18">
        <f>COUNTIF(AQ$10:AQ$100,"&gt;=" &amp; Summary!$B9)-SUM(BD10:BD12)</f>
        <v>0</v>
      </c>
      <c r="BE13" s="18">
        <f>COUNTIF(AR$10:AR$100,"&gt;=" &amp; Summary!$B9)-SUM(BE10:BE12)</f>
        <v>0</v>
      </c>
      <c r="BF13" s="18">
        <f>COUNTIF(AS$10:AS$100,"&gt;=" &amp; Summary!$B9)-SUM(BF10:BF12)</f>
        <v>0</v>
      </c>
      <c r="BG13" s="18">
        <f>COUNTIF(AT$10:AT$100,"&gt;=" &amp; Summary!$B9)-SUM(BG10:BG12)</f>
        <v>0</v>
      </c>
      <c r="BH13" s="18">
        <f>COUNTIF(AU$10:AU$100,"&gt;=" &amp; Summary!$B9)-SUM(BH10:BH12)</f>
        <v>0</v>
      </c>
      <c r="BI13" s="18">
        <f>COUNTIF(AV$10:AV$100,"&gt;=" &amp; Summary!$B9)-SUM(BI10:BI12)</f>
        <v>0</v>
      </c>
      <c r="BJ13" s="18">
        <f>COUNTIF(AW$10:AW$100,"&gt;=" &amp; Summary!$B9)-SUM(BJ10:BJ12)</f>
        <v>0</v>
      </c>
      <c r="BK13" s="18">
        <f>COUNTIF(AX$10:AX$100,"&gt;=" &amp; Summary!$B9)-SUM(BK10:BK12)</f>
        <v>0</v>
      </c>
      <c r="BL13" s="18">
        <f>COUNTIF(AY$10:AY$100,"&gt;=" &amp; Summary!$B9)-SUM(BL10:BL12)</f>
        <v>0</v>
      </c>
      <c r="BM13" s="18">
        <f>COUNTIF(AZ$10:AZ$100,"&gt;=" &amp; Summary!$B9)-SUM(BM10:BM12)</f>
        <v>0</v>
      </c>
    </row>
    <row r="14" spans="1:65">
      <c r="A14" t="str">
        <f>Grades!A14</f>
        <v>Last_5</v>
      </c>
      <c r="B14" t="str">
        <f>Grades!B14</f>
        <v>First_5</v>
      </c>
      <c r="C14" s="12">
        <f>Grades!C14</f>
        <v>97458323</v>
      </c>
      <c r="D14" s="13">
        <f t="shared" si="1"/>
        <v>0</v>
      </c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3"/>
      <c r="Y14" s="13"/>
      <c r="Z14" s="13"/>
      <c r="AB14" s="13">
        <f t="shared" si="2"/>
        <v>0</v>
      </c>
      <c r="AC14" s="13">
        <f t="shared" si="3"/>
        <v>0</v>
      </c>
      <c r="AD14" s="13">
        <f t="shared" si="4"/>
        <v>0</v>
      </c>
      <c r="AE14" s="13">
        <f t="shared" si="5"/>
        <v>0</v>
      </c>
      <c r="AF14" s="13">
        <f t="shared" si="6"/>
        <v>0</v>
      </c>
      <c r="AG14" s="13">
        <f t="shared" si="7"/>
        <v>0</v>
      </c>
      <c r="AH14" s="13">
        <f t="shared" si="8"/>
        <v>0</v>
      </c>
      <c r="AI14" s="13">
        <f t="shared" si="9"/>
        <v>0</v>
      </c>
      <c r="AJ14" s="13">
        <f t="shared" si="10"/>
        <v>0</v>
      </c>
      <c r="AK14" s="13">
        <f t="shared" si="11"/>
        <v>0</v>
      </c>
      <c r="AL14" s="13">
        <f t="shared" si="12"/>
        <v>0</v>
      </c>
      <c r="AM14" s="13">
        <f t="shared" si="13"/>
        <v>0</v>
      </c>
      <c r="AO14" s="14">
        <f t="shared" si="14"/>
        <v>0</v>
      </c>
      <c r="AP14" s="14">
        <f t="shared" si="0"/>
        <v>0</v>
      </c>
      <c r="AQ14" s="14">
        <f t="shared" si="0"/>
        <v>0</v>
      </c>
      <c r="AR14" s="14">
        <f t="shared" si="0"/>
        <v>0</v>
      </c>
      <c r="AS14" s="14">
        <f t="shared" si="0"/>
        <v>0</v>
      </c>
      <c r="AT14" s="14">
        <f t="shared" si="0"/>
        <v>0</v>
      </c>
      <c r="AU14" s="14">
        <f t="shared" si="0"/>
        <v>0</v>
      </c>
      <c r="AV14" s="14">
        <f t="shared" si="0"/>
        <v>0</v>
      </c>
      <c r="AW14" s="14">
        <f t="shared" si="0"/>
        <v>0</v>
      </c>
      <c r="AX14" s="14">
        <f t="shared" si="0"/>
        <v>0</v>
      </c>
      <c r="AY14" s="14">
        <f t="shared" si="0"/>
        <v>0</v>
      </c>
      <c r="AZ14" s="14">
        <f t="shared" si="0"/>
        <v>0</v>
      </c>
      <c r="BA14" s="15" t="s">
        <v>87</v>
      </c>
      <c r="BB14" s="18">
        <f>COUNTIF(AO$10:AO$100,"&gt;" &amp; Summary!$B10)-SUM(BB10:BB13)</f>
        <v>0</v>
      </c>
      <c r="BC14" s="18">
        <f>COUNTIF(AP$10:AP$100,"&gt;" &amp; Summary!$B10)-SUM(BC10:BC13)</f>
        <v>0</v>
      </c>
      <c r="BD14" s="18">
        <f>COUNTIF(AQ$10:AQ$100,"&gt;" &amp; Summary!$B10)-SUM(BD10:BD13)</f>
        <v>0</v>
      </c>
      <c r="BE14" s="18">
        <f>COUNTIF(AR$10:AR$100,"&gt;" &amp; Summary!$B10)-SUM(BE10:BE13)</f>
        <v>0</v>
      </c>
      <c r="BF14" s="18">
        <f>COUNTIF(AS$10:AS$100,"&gt;" &amp; Summary!$B10)-SUM(BF10:BF13)</f>
        <v>0</v>
      </c>
      <c r="BG14" s="18">
        <f>COUNTIF(AT$10:AT$100,"&gt;" &amp; Summary!$B10)-SUM(BG10:BG13)</f>
        <v>0</v>
      </c>
      <c r="BH14" s="18">
        <f>COUNTIF(AU$10:AU$100,"&gt;" &amp; Summary!$B10)-SUM(BH10:BH13)</f>
        <v>0</v>
      </c>
      <c r="BI14" s="18">
        <f>COUNTIF(AV$10:AV$100,"&gt;" &amp; Summary!$B10)-SUM(BI10:BI13)</f>
        <v>0</v>
      </c>
      <c r="BJ14" s="18">
        <f>COUNTIF(AW$10:AW$100,"&gt;" &amp; Summary!$B10)-SUM(BJ10:BJ13)</f>
        <v>0</v>
      </c>
      <c r="BK14" s="18">
        <f>COUNTIF(AX$10:AX$100,"&gt;" &amp; Summary!$B10)-SUM(BK10:BK13)</f>
        <v>0</v>
      </c>
      <c r="BL14" s="18">
        <f>COUNTIF(AY$10:AY$100,"&gt;" &amp; Summary!$B10)-SUM(BL10:BL13)</f>
        <v>0</v>
      </c>
      <c r="BM14" s="18">
        <f>COUNTIF(AZ$10:AZ$100,"&gt;" &amp; Summary!$B10)-SUM(BM10:BM13)</f>
        <v>0</v>
      </c>
    </row>
    <row r="15" spans="1:65">
      <c r="A15" t="str">
        <f>Grades!A15</f>
        <v>Last_6</v>
      </c>
      <c r="B15" t="str">
        <f>Grades!B15</f>
        <v>First_6</v>
      </c>
      <c r="C15" s="12">
        <f>Grades!C15</f>
        <v>54710323</v>
      </c>
      <c r="D15" s="13">
        <f t="shared" si="1"/>
        <v>0</v>
      </c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B15" s="13">
        <f t="shared" si="2"/>
        <v>0</v>
      </c>
      <c r="AC15" s="13">
        <f t="shared" si="3"/>
        <v>0</v>
      </c>
      <c r="AD15" s="13">
        <f t="shared" si="4"/>
        <v>0</v>
      </c>
      <c r="AE15" s="13">
        <f t="shared" si="5"/>
        <v>0</v>
      </c>
      <c r="AF15" s="13">
        <f t="shared" si="6"/>
        <v>0</v>
      </c>
      <c r="AG15" s="13">
        <f t="shared" si="7"/>
        <v>0</v>
      </c>
      <c r="AH15" s="13">
        <f t="shared" si="8"/>
        <v>0</v>
      </c>
      <c r="AI15" s="13">
        <f t="shared" si="9"/>
        <v>0</v>
      </c>
      <c r="AJ15" s="13">
        <f t="shared" si="10"/>
        <v>0</v>
      </c>
      <c r="AK15" s="13">
        <f t="shared" si="11"/>
        <v>0</v>
      </c>
      <c r="AL15" s="13">
        <f t="shared" si="12"/>
        <v>0</v>
      </c>
      <c r="AM15" s="13">
        <f t="shared" si="13"/>
        <v>0</v>
      </c>
      <c r="AO15" s="14">
        <f t="shared" si="14"/>
        <v>0</v>
      </c>
      <c r="AP15" s="14">
        <f t="shared" si="0"/>
        <v>0</v>
      </c>
      <c r="AQ15" s="14">
        <f t="shared" si="0"/>
        <v>0</v>
      </c>
      <c r="AR15" s="14">
        <f t="shared" si="0"/>
        <v>0</v>
      </c>
      <c r="AS15" s="14">
        <f t="shared" si="0"/>
        <v>0</v>
      </c>
      <c r="AT15" s="14">
        <f t="shared" si="0"/>
        <v>0</v>
      </c>
      <c r="AU15" s="14">
        <f t="shared" si="0"/>
        <v>0</v>
      </c>
      <c r="AV15" s="14">
        <f t="shared" si="0"/>
        <v>0</v>
      </c>
      <c r="AW15" s="14">
        <f t="shared" si="0"/>
        <v>0</v>
      </c>
      <c r="AX15" s="14">
        <f t="shared" si="0"/>
        <v>0</v>
      </c>
      <c r="AY15" s="14">
        <f t="shared" si="0"/>
        <v>0</v>
      </c>
      <c r="AZ15" s="14">
        <f t="shared" si="0"/>
        <v>0</v>
      </c>
      <c r="BA15" s="15"/>
      <c r="BB15" s="15">
        <f t="shared" ref="BB15:BM15" si="15">SUM(BB10:BB14)</f>
        <v>0</v>
      </c>
      <c r="BC15" s="15">
        <f t="shared" si="15"/>
        <v>0</v>
      </c>
      <c r="BD15" s="15">
        <f t="shared" si="15"/>
        <v>0</v>
      </c>
      <c r="BE15" s="15">
        <f t="shared" si="15"/>
        <v>0</v>
      </c>
      <c r="BF15" s="15">
        <f t="shared" si="15"/>
        <v>0</v>
      </c>
      <c r="BG15" s="15">
        <f t="shared" si="15"/>
        <v>0</v>
      </c>
      <c r="BH15" s="15">
        <f t="shared" si="15"/>
        <v>0</v>
      </c>
      <c r="BI15" s="15">
        <f t="shared" si="15"/>
        <v>0</v>
      </c>
      <c r="BJ15" s="15">
        <f t="shared" si="15"/>
        <v>0</v>
      </c>
      <c r="BK15" s="15">
        <f t="shared" si="15"/>
        <v>0</v>
      </c>
      <c r="BL15" s="15">
        <f t="shared" si="15"/>
        <v>0</v>
      </c>
      <c r="BM15" s="15">
        <f t="shared" si="15"/>
        <v>0</v>
      </c>
    </row>
    <row r="16" spans="1:65">
      <c r="A16" t="str">
        <f>Grades!A16</f>
        <v>Last_7</v>
      </c>
      <c r="B16" t="str">
        <f>Grades!B16</f>
        <v>First_7</v>
      </c>
      <c r="C16" s="12">
        <f>Grades!C16</f>
        <v>57528013</v>
      </c>
      <c r="D16" s="13">
        <f t="shared" si="1"/>
        <v>0</v>
      </c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B16" s="13">
        <f t="shared" si="2"/>
        <v>0</v>
      </c>
      <c r="AC16" s="13">
        <f t="shared" si="3"/>
        <v>0</v>
      </c>
      <c r="AD16" s="13">
        <f t="shared" si="4"/>
        <v>0</v>
      </c>
      <c r="AE16" s="13">
        <f t="shared" si="5"/>
        <v>0</v>
      </c>
      <c r="AF16" s="13">
        <f t="shared" si="6"/>
        <v>0</v>
      </c>
      <c r="AG16" s="13">
        <f t="shared" si="7"/>
        <v>0</v>
      </c>
      <c r="AH16" s="13">
        <f t="shared" si="8"/>
        <v>0</v>
      </c>
      <c r="AI16" s="13">
        <f t="shared" si="9"/>
        <v>0</v>
      </c>
      <c r="AJ16" s="13">
        <f t="shared" si="10"/>
        <v>0</v>
      </c>
      <c r="AK16" s="13">
        <f t="shared" si="11"/>
        <v>0</v>
      </c>
      <c r="AL16" s="13">
        <f t="shared" si="12"/>
        <v>0</v>
      </c>
      <c r="AM16" s="13">
        <f t="shared" si="13"/>
        <v>0</v>
      </c>
      <c r="AO16" s="14">
        <f t="shared" si="14"/>
        <v>0</v>
      </c>
      <c r="AP16" s="14">
        <f t="shared" si="0"/>
        <v>0</v>
      </c>
      <c r="AQ16" s="14">
        <f t="shared" si="0"/>
        <v>0</v>
      </c>
      <c r="AR16" s="14">
        <f t="shared" si="0"/>
        <v>0</v>
      </c>
      <c r="AS16" s="14">
        <f t="shared" si="0"/>
        <v>0</v>
      </c>
      <c r="AT16" s="14">
        <f t="shared" si="0"/>
        <v>0</v>
      </c>
      <c r="AU16" s="14">
        <f t="shared" si="0"/>
        <v>0</v>
      </c>
      <c r="AV16" s="14">
        <f t="shared" si="0"/>
        <v>0</v>
      </c>
      <c r="AW16" s="14">
        <f t="shared" si="0"/>
        <v>0</v>
      </c>
      <c r="AX16" s="14">
        <f t="shared" si="0"/>
        <v>0</v>
      </c>
      <c r="AY16" s="14">
        <f t="shared" si="0"/>
        <v>0</v>
      </c>
      <c r="AZ16" s="14">
        <f t="shared" si="0"/>
        <v>0</v>
      </c>
    </row>
    <row r="17" spans="1:52">
      <c r="A17" t="str">
        <f>Grades!A17</f>
        <v>Last_8</v>
      </c>
      <c r="B17" t="str">
        <f>Grades!B17</f>
        <v>First_8</v>
      </c>
      <c r="C17" s="12">
        <f>Grades!C17</f>
        <v>46076400</v>
      </c>
      <c r="D17" s="13">
        <f t="shared" si="1"/>
        <v>0</v>
      </c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  <c r="AB17" s="13">
        <f t="shared" si="2"/>
        <v>0</v>
      </c>
      <c r="AC17" s="13">
        <f t="shared" si="3"/>
        <v>0</v>
      </c>
      <c r="AD17" s="13">
        <f t="shared" si="4"/>
        <v>0</v>
      </c>
      <c r="AE17" s="13">
        <f t="shared" si="5"/>
        <v>0</v>
      </c>
      <c r="AF17" s="13">
        <f t="shared" si="6"/>
        <v>0</v>
      </c>
      <c r="AG17" s="13">
        <f t="shared" si="7"/>
        <v>0</v>
      </c>
      <c r="AH17" s="13">
        <f t="shared" si="8"/>
        <v>0</v>
      </c>
      <c r="AI17" s="13">
        <f t="shared" si="9"/>
        <v>0</v>
      </c>
      <c r="AJ17" s="13">
        <f t="shared" si="10"/>
        <v>0</v>
      </c>
      <c r="AK17" s="13">
        <f t="shared" si="11"/>
        <v>0</v>
      </c>
      <c r="AL17" s="13">
        <f t="shared" si="12"/>
        <v>0</v>
      </c>
      <c r="AM17" s="13">
        <f t="shared" si="13"/>
        <v>0</v>
      </c>
      <c r="AO17" s="14">
        <f t="shared" si="14"/>
        <v>0</v>
      </c>
      <c r="AP17" s="14">
        <f t="shared" si="0"/>
        <v>0</v>
      </c>
      <c r="AQ17" s="14">
        <f t="shared" si="0"/>
        <v>0</v>
      </c>
      <c r="AR17" s="14">
        <f t="shared" si="0"/>
        <v>0</v>
      </c>
      <c r="AS17" s="14">
        <f t="shared" si="0"/>
        <v>0</v>
      </c>
      <c r="AT17" s="14">
        <f t="shared" si="0"/>
        <v>0</v>
      </c>
      <c r="AU17" s="14">
        <f t="shared" si="0"/>
        <v>0</v>
      </c>
      <c r="AV17" s="14">
        <f t="shared" si="0"/>
        <v>0</v>
      </c>
      <c r="AW17" s="14">
        <f t="shared" si="0"/>
        <v>0</v>
      </c>
      <c r="AX17" s="14">
        <f t="shared" si="0"/>
        <v>0</v>
      </c>
      <c r="AY17" s="14">
        <f t="shared" si="0"/>
        <v>0</v>
      </c>
      <c r="AZ17" s="14">
        <f t="shared" si="0"/>
        <v>0</v>
      </c>
    </row>
    <row r="18" spans="1:52">
      <c r="A18" t="str">
        <f>Grades!A18</f>
        <v>Last_9</v>
      </c>
      <c r="B18" t="str">
        <f>Grades!B18</f>
        <v>First_9</v>
      </c>
      <c r="C18" s="12">
        <f>Grades!C18</f>
        <v>68224023</v>
      </c>
      <c r="D18" s="13">
        <f t="shared" si="1"/>
        <v>0</v>
      </c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  <c r="AB18" s="13">
        <f t="shared" si="2"/>
        <v>0</v>
      </c>
      <c r="AC18" s="13">
        <f t="shared" si="3"/>
        <v>0</v>
      </c>
      <c r="AD18" s="13">
        <f t="shared" si="4"/>
        <v>0</v>
      </c>
      <c r="AE18" s="13">
        <f t="shared" si="5"/>
        <v>0</v>
      </c>
      <c r="AF18" s="13">
        <f t="shared" si="6"/>
        <v>0</v>
      </c>
      <c r="AG18" s="13">
        <f t="shared" si="7"/>
        <v>0</v>
      </c>
      <c r="AH18" s="13">
        <f t="shared" si="8"/>
        <v>0</v>
      </c>
      <c r="AI18" s="13">
        <f t="shared" si="9"/>
        <v>0</v>
      </c>
      <c r="AJ18" s="13">
        <f t="shared" si="10"/>
        <v>0</v>
      </c>
      <c r="AK18" s="13">
        <f t="shared" si="11"/>
        <v>0</v>
      </c>
      <c r="AL18" s="13">
        <f t="shared" si="12"/>
        <v>0</v>
      </c>
      <c r="AM18" s="13">
        <f t="shared" si="13"/>
        <v>0</v>
      </c>
      <c r="AO18" s="14">
        <f t="shared" si="14"/>
        <v>0</v>
      </c>
      <c r="AP18" s="14">
        <f t="shared" si="0"/>
        <v>0</v>
      </c>
      <c r="AQ18" s="14">
        <f t="shared" si="0"/>
        <v>0</v>
      </c>
      <c r="AR18" s="14">
        <f t="shared" si="0"/>
        <v>0</v>
      </c>
      <c r="AS18" s="14">
        <f t="shared" si="0"/>
        <v>0</v>
      </c>
      <c r="AT18" s="14">
        <f t="shared" si="0"/>
        <v>0</v>
      </c>
      <c r="AU18" s="14">
        <f t="shared" si="0"/>
        <v>0</v>
      </c>
      <c r="AV18" s="14">
        <f t="shared" si="0"/>
        <v>0</v>
      </c>
      <c r="AW18" s="14">
        <f t="shared" si="0"/>
        <v>0</v>
      </c>
      <c r="AX18" s="14">
        <f t="shared" si="0"/>
        <v>0</v>
      </c>
      <c r="AY18" s="14">
        <f t="shared" si="0"/>
        <v>0</v>
      </c>
      <c r="AZ18" s="14">
        <f t="shared" si="0"/>
        <v>0</v>
      </c>
    </row>
    <row r="19" spans="1:52">
      <c r="A19" t="str">
        <f>Grades!A19</f>
        <v>Last_10</v>
      </c>
      <c r="B19" t="str">
        <f>Grades!B19</f>
        <v>First_10</v>
      </c>
      <c r="C19" s="12">
        <f>Grades!C19</f>
        <v>44898071</v>
      </c>
      <c r="D19" s="13">
        <f t="shared" si="1"/>
        <v>0</v>
      </c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3"/>
      <c r="Y19" s="13"/>
      <c r="Z19" s="13"/>
      <c r="AB19" s="13">
        <f t="shared" si="2"/>
        <v>0</v>
      </c>
      <c r="AC19" s="13">
        <f t="shared" si="3"/>
        <v>0</v>
      </c>
      <c r="AD19" s="13">
        <f t="shared" si="4"/>
        <v>0</v>
      </c>
      <c r="AE19" s="13">
        <f t="shared" si="5"/>
        <v>0</v>
      </c>
      <c r="AF19" s="13">
        <f t="shared" si="6"/>
        <v>0</v>
      </c>
      <c r="AG19" s="13">
        <f t="shared" si="7"/>
        <v>0</v>
      </c>
      <c r="AH19" s="13">
        <f t="shared" si="8"/>
        <v>0</v>
      </c>
      <c r="AI19" s="13">
        <f t="shared" si="9"/>
        <v>0</v>
      </c>
      <c r="AJ19" s="13">
        <f t="shared" si="10"/>
        <v>0</v>
      </c>
      <c r="AK19" s="13">
        <f t="shared" si="11"/>
        <v>0</v>
      </c>
      <c r="AL19" s="13">
        <f t="shared" si="12"/>
        <v>0</v>
      </c>
      <c r="AM19" s="13">
        <f t="shared" si="13"/>
        <v>0</v>
      </c>
      <c r="AO19" s="14">
        <f t="shared" si="14"/>
        <v>0</v>
      </c>
      <c r="AP19" s="14">
        <f t="shared" si="0"/>
        <v>0</v>
      </c>
      <c r="AQ19" s="14">
        <f t="shared" si="0"/>
        <v>0</v>
      </c>
      <c r="AR19" s="14">
        <f t="shared" si="0"/>
        <v>0</v>
      </c>
      <c r="AS19" s="14">
        <f t="shared" si="0"/>
        <v>0</v>
      </c>
      <c r="AT19" s="14">
        <f t="shared" si="0"/>
        <v>0</v>
      </c>
      <c r="AU19" s="14">
        <f t="shared" si="0"/>
        <v>0</v>
      </c>
      <c r="AV19" s="14">
        <f t="shared" si="0"/>
        <v>0</v>
      </c>
      <c r="AW19" s="14">
        <f t="shared" si="0"/>
        <v>0</v>
      </c>
      <c r="AX19" s="14">
        <f t="shared" si="0"/>
        <v>0</v>
      </c>
      <c r="AY19" s="14">
        <f t="shared" si="0"/>
        <v>0</v>
      </c>
      <c r="AZ19" s="14">
        <f t="shared" si="0"/>
        <v>0</v>
      </c>
    </row>
    <row r="20" spans="1:52">
      <c r="A20" t="str">
        <f>Grades!A20</f>
        <v>Last_11</v>
      </c>
      <c r="B20" t="str">
        <f>Grades!B20</f>
        <v>First_11</v>
      </c>
      <c r="C20" s="12">
        <f>Grades!C20</f>
        <v>61782509</v>
      </c>
      <c r="D20" s="13">
        <f t="shared" si="1"/>
        <v>0</v>
      </c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13"/>
      <c r="AB20" s="13">
        <f t="shared" si="2"/>
        <v>0</v>
      </c>
      <c r="AC20" s="13">
        <f t="shared" si="3"/>
        <v>0</v>
      </c>
      <c r="AD20" s="13">
        <f t="shared" si="4"/>
        <v>0</v>
      </c>
      <c r="AE20" s="13">
        <f t="shared" si="5"/>
        <v>0</v>
      </c>
      <c r="AF20" s="13">
        <f t="shared" si="6"/>
        <v>0</v>
      </c>
      <c r="AG20" s="13">
        <f t="shared" si="7"/>
        <v>0</v>
      </c>
      <c r="AH20" s="13">
        <f t="shared" si="8"/>
        <v>0</v>
      </c>
      <c r="AI20" s="13">
        <f t="shared" si="9"/>
        <v>0</v>
      </c>
      <c r="AJ20" s="13">
        <f t="shared" si="10"/>
        <v>0</v>
      </c>
      <c r="AK20" s="13">
        <f t="shared" si="11"/>
        <v>0</v>
      </c>
      <c r="AL20" s="13">
        <f t="shared" si="12"/>
        <v>0</v>
      </c>
      <c r="AM20" s="13">
        <f t="shared" si="13"/>
        <v>0</v>
      </c>
      <c r="AO20" s="14">
        <f t="shared" si="14"/>
        <v>0</v>
      </c>
      <c r="AP20" s="14">
        <f t="shared" si="0"/>
        <v>0</v>
      </c>
      <c r="AQ20" s="14">
        <f t="shared" si="0"/>
        <v>0</v>
      </c>
      <c r="AR20" s="14">
        <f t="shared" si="0"/>
        <v>0</v>
      </c>
      <c r="AS20" s="14">
        <f t="shared" si="0"/>
        <v>0</v>
      </c>
      <c r="AT20" s="14">
        <f t="shared" si="0"/>
        <v>0</v>
      </c>
      <c r="AU20" s="14">
        <f t="shared" si="0"/>
        <v>0</v>
      </c>
      <c r="AV20" s="14">
        <f t="shared" si="0"/>
        <v>0</v>
      </c>
      <c r="AW20" s="14">
        <f t="shared" si="0"/>
        <v>0</v>
      </c>
      <c r="AX20" s="14">
        <f t="shared" si="0"/>
        <v>0</v>
      </c>
      <c r="AY20" s="14">
        <f t="shared" si="0"/>
        <v>0</v>
      </c>
      <c r="AZ20" s="14">
        <f t="shared" si="0"/>
        <v>0</v>
      </c>
    </row>
    <row r="21" spans="1:52">
      <c r="A21" t="str">
        <f>Grades!A21</f>
        <v>Last_12</v>
      </c>
      <c r="B21" t="str">
        <f>Grades!B21</f>
        <v>First_12</v>
      </c>
      <c r="C21" s="12">
        <f>Grades!C21</f>
        <v>4197486</v>
      </c>
      <c r="D21" s="13">
        <f t="shared" si="1"/>
        <v>0</v>
      </c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  <c r="AB21" s="13">
        <f t="shared" si="2"/>
        <v>0</v>
      </c>
      <c r="AC21" s="13">
        <f t="shared" si="3"/>
        <v>0</v>
      </c>
      <c r="AD21" s="13">
        <f t="shared" si="4"/>
        <v>0</v>
      </c>
      <c r="AE21" s="13">
        <f t="shared" si="5"/>
        <v>0</v>
      </c>
      <c r="AF21" s="13">
        <f t="shared" si="6"/>
        <v>0</v>
      </c>
      <c r="AG21" s="13">
        <f t="shared" si="7"/>
        <v>0</v>
      </c>
      <c r="AH21" s="13">
        <f t="shared" si="8"/>
        <v>0</v>
      </c>
      <c r="AI21" s="13">
        <f t="shared" si="9"/>
        <v>0</v>
      </c>
      <c r="AJ21" s="13">
        <f t="shared" si="10"/>
        <v>0</v>
      </c>
      <c r="AK21" s="13">
        <f t="shared" si="11"/>
        <v>0</v>
      </c>
      <c r="AL21" s="13">
        <f t="shared" si="12"/>
        <v>0</v>
      </c>
      <c r="AM21" s="13">
        <f t="shared" si="13"/>
        <v>0</v>
      </c>
      <c r="AO21" s="14">
        <f t="shared" si="14"/>
        <v>0</v>
      </c>
      <c r="AP21" s="14">
        <f t="shared" si="0"/>
        <v>0</v>
      </c>
      <c r="AQ21" s="14">
        <f t="shared" si="0"/>
        <v>0</v>
      </c>
      <c r="AR21" s="14">
        <f t="shared" si="0"/>
        <v>0</v>
      </c>
      <c r="AS21" s="14">
        <f t="shared" si="0"/>
        <v>0</v>
      </c>
      <c r="AT21" s="14">
        <f t="shared" si="0"/>
        <v>0</v>
      </c>
      <c r="AU21" s="14">
        <f t="shared" si="0"/>
        <v>0</v>
      </c>
      <c r="AV21" s="14">
        <f t="shared" si="0"/>
        <v>0</v>
      </c>
      <c r="AW21" s="14">
        <f t="shared" si="0"/>
        <v>0</v>
      </c>
      <c r="AX21" s="14">
        <f t="shared" si="0"/>
        <v>0</v>
      </c>
      <c r="AY21" s="14">
        <f t="shared" si="0"/>
        <v>0</v>
      </c>
      <c r="AZ21" s="14">
        <f t="shared" si="0"/>
        <v>0</v>
      </c>
    </row>
    <row r="22" spans="1:52">
      <c r="A22" t="str">
        <f>Grades!A22</f>
        <v>Last_13</v>
      </c>
      <c r="B22" t="str">
        <f>Grades!B22</f>
        <v>First_13</v>
      </c>
      <c r="C22" s="12">
        <f>Grades!C22</f>
        <v>51295906</v>
      </c>
      <c r="D22" s="13">
        <f t="shared" si="1"/>
        <v>0</v>
      </c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3"/>
      <c r="Y22" s="13"/>
      <c r="Z22" s="13"/>
      <c r="AB22" s="13">
        <f t="shared" si="2"/>
        <v>0</v>
      </c>
      <c r="AC22" s="13">
        <f t="shared" si="3"/>
        <v>0</v>
      </c>
      <c r="AD22" s="13">
        <f t="shared" si="4"/>
        <v>0</v>
      </c>
      <c r="AE22" s="13">
        <f t="shared" si="5"/>
        <v>0</v>
      </c>
      <c r="AF22" s="13">
        <f t="shared" si="6"/>
        <v>0</v>
      </c>
      <c r="AG22" s="13">
        <f t="shared" si="7"/>
        <v>0</v>
      </c>
      <c r="AH22" s="13">
        <f t="shared" si="8"/>
        <v>0</v>
      </c>
      <c r="AI22" s="13">
        <f t="shared" si="9"/>
        <v>0</v>
      </c>
      <c r="AJ22" s="13">
        <f t="shared" si="10"/>
        <v>0</v>
      </c>
      <c r="AK22" s="13">
        <f t="shared" si="11"/>
        <v>0</v>
      </c>
      <c r="AL22" s="13">
        <f t="shared" si="12"/>
        <v>0</v>
      </c>
      <c r="AM22" s="13">
        <f t="shared" si="13"/>
        <v>0</v>
      </c>
      <c r="AO22" s="14">
        <f t="shared" si="14"/>
        <v>0</v>
      </c>
      <c r="AP22" s="14">
        <f t="shared" si="0"/>
        <v>0</v>
      </c>
      <c r="AQ22" s="14">
        <f t="shared" si="0"/>
        <v>0</v>
      </c>
      <c r="AR22" s="14">
        <f t="shared" si="0"/>
        <v>0</v>
      </c>
      <c r="AS22" s="14">
        <f t="shared" si="0"/>
        <v>0</v>
      </c>
      <c r="AT22" s="14">
        <f t="shared" si="0"/>
        <v>0</v>
      </c>
      <c r="AU22" s="14">
        <f t="shared" si="0"/>
        <v>0</v>
      </c>
      <c r="AV22" s="14">
        <f t="shared" si="0"/>
        <v>0</v>
      </c>
      <c r="AW22" s="14">
        <f t="shared" si="0"/>
        <v>0</v>
      </c>
      <c r="AX22" s="14">
        <f t="shared" si="0"/>
        <v>0</v>
      </c>
      <c r="AY22" s="14">
        <f t="shared" si="0"/>
        <v>0</v>
      </c>
      <c r="AZ22" s="14">
        <f t="shared" si="0"/>
        <v>0</v>
      </c>
    </row>
    <row r="23" spans="1:52">
      <c r="A23" t="str">
        <f>Grades!A23</f>
        <v>Last_14</v>
      </c>
      <c r="B23" t="str">
        <f>Grades!B23</f>
        <v>First_14</v>
      </c>
      <c r="C23" s="12">
        <f>Grades!C23</f>
        <v>19839573</v>
      </c>
      <c r="D23" s="13">
        <f t="shared" si="1"/>
        <v>0</v>
      </c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B23" s="13">
        <f t="shared" si="2"/>
        <v>0</v>
      </c>
      <c r="AC23" s="13">
        <f t="shared" si="3"/>
        <v>0</v>
      </c>
      <c r="AD23" s="13">
        <f t="shared" si="4"/>
        <v>0</v>
      </c>
      <c r="AE23" s="13">
        <f t="shared" si="5"/>
        <v>0</v>
      </c>
      <c r="AF23" s="13">
        <f t="shared" si="6"/>
        <v>0</v>
      </c>
      <c r="AG23" s="13">
        <f t="shared" si="7"/>
        <v>0</v>
      </c>
      <c r="AH23" s="13">
        <f t="shared" si="8"/>
        <v>0</v>
      </c>
      <c r="AI23" s="13">
        <f t="shared" si="9"/>
        <v>0</v>
      </c>
      <c r="AJ23" s="13">
        <f t="shared" si="10"/>
        <v>0</v>
      </c>
      <c r="AK23" s="13">
        <f t="shared" si="11"/>
        <v>0</v>
      </c>
      <c r="AL23" s="13">
        <f t="shared" si="12"/>
        <v>0</v>
      </c>
      <c r="AM23" s="13">
        <f t="shared" si="13"/>
        <v>0</v>
      </c>
      <c r="AO23" s="14">
        <f t="shared" si="14"/>
        <v>0</v>
      </c>
      <c r="AP23" s="14">
        <f t="shared" si="0"/>
        <v>0</v>
      </c>
      <c r="AQ23" s="14">
        <f t="shared" si="0"/>
        <v>0</v>
      </c>
      <c r="AR23" s="14">
        <f t="shared" si="0"/>
        <v>0</v>
      </c>
      <c r="AS23" s="14">
        <f t="shared" si="0"/>
        <v>0</v>
      </c>
      <c r="AT23" s="14">
        <f t="shared" si="0"/>
        <v>0</v>
      </c>
      <c r="AU23" s="14">
        <f t="shared" si="0"/>
        <v>0</v>
      </c>
      <c r="AV23" s="14">
        <f t="shared" si="0"/>
        <v>0</v>
      </c>
      <c r="AW23" s="14">
        <f t="shared" si="0"/>
        <v>0</v>
      </c>
      <c r="AX23" s="14">
        <f t="shared" si="0"/>
        <v>0</v>
      </c>
      <c r="AY23" s="14">
        <f t="shared" si="0"/>
        <v>0</v>
      </c>
      <c r="AZ23" s="14">
        <f t="shared" si="0"/>
        <v>0</v>
      </c>
    </row>
    <row r="24" spans="1:52">
      <c r="A24" t="str">
        <f>Grades!A24</f>
        <v>Last_15</v>
      </c>
      <c r="B24" t="str">
        <f>Grades!B24</f>
        <v>First_15</v>
      </c>
      <c r="C24" s="12">
        <f>Grades!C24</f>
        <v>54905777</v>
      </c>
      <c r="D24" s="13">
        <f t="shared" si="1"/>
        <v>0</v>
      </c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13"/>
      <c r="Y24" s="13"/>
      <c r="Z24" s="13"/>
      <c r="AB24" s="13">
        <f t="shared" si="2"/>
        <v>0</v>
      </c>
      <c r="AC24" s="13">
        <f t="shared" si="3"/>
        <v>0</v>
      </c>
      <c r="AD24" s="13">
        <f t="shared" si="4"/>
        <v>0</v>
      </c>
      <c r="AE24" s="13">
        <f t="shared" si="5"/>
        <v>0</v>
      </c>
      <c r="AF24" s="13">
        <f t="shared" si="6"/>
        <v>0</v>
      </c>
      <c r="AG24" s="13">
        <f t="shared" si="7"/>
        <v>0</v>
      </c>
      <c r="AH24" s="13">
        <f t="shared" si="8"/>
        <v>0</v>
      </c>
      <c r="AI24" s="13">
        <f t="shared" si="9"/>
        <v>0</v>
      </c>
      <c r="AJ24" s="13">
        <f t="shared" si="10"/>
        <v>0</v>
      </c>
      <c r="AK24" s="13">
        <f t="shared" si="11"/>
        <v>0</v>
      </c>
      <c r="AL24" s="13">
        <f t="shared" si="12"/>
        <v>0</v>
      </c>
      <c r="AM24" s="13">
        <f t="shared" si="13"/>
        <v>0</v>
      </c>
      <c r="AO24" s="14">
        <f t="shared" si="14"/>
        <v>0</v>
      </c>
      <c r="AP24" s="14">
        <f t="shared" si="0"/>
        <v>0</v>
      </c>
      <c r="AQ24" s="14">
        <f t="shared" si="0"/>
        <v>0</v>
      </c>
      <c r="AR24" s="14">
        <f t="shared" si="0"/>
        <v>0</v>
      </c>
      <c r="AS24" s="14">
        <f t="shared" si="0"/>
        <v>0</v>
      </c>
      <c r="AT24" s="14">
        <f t="shared" si="0"/>
        <v>0</v>
      </c>
      <c r="AU24" s="14">
        <f t="shared" si="0"/>
        <v>0</v>
      </c>
      <c r="AV24" s="14">
        <f t="shared" si="0"/>
        <v>0</v>
      </c>
      <c r="AW24" s="14">
        <f t="shared" si="0"/>
        <v>0</v>
      </c>
      <c r="AX24" s="14">
        <f t="shared" si="0"/>
        <v>0</v>
      </c>
      <c r="AY24" s="14">
        <f t="shared" si="0"/>
        <v>0</v>
      </c>
      <c r="AZ24" s="14">
        <f t="shared" si="0"/>
        <v>0</v>
      </c>
    </row>
    <row r="25" spans="1:52">
      <c r="A25" t="str">
        <f>Grades!A25</f>
        <v>Last_16</v>
      </c>
      <c r="B25" t="str">
        <f>Grades!B25</f>
        <v>First_16</v>
      </c>
      <c r="C25" s="12">
        <f>Grades!C25</f>
        <v>82030077</v>
      </c>
      <c r="D25" s="13">
        <f t="shared" si="1"/>
        <v>0</v>
      </c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  <c r="AB25" s="13">
        <f t="shared" si="2"/>
        <v>0</v>
      </c>
      <c r="AC25" s="13">
        <f t="shared" si="3"/>
        <v>0</v>
      </c>
      <c r="AD25" s="13">
        <f t="shared" si="4"/>
        <v>0</v>
      </c>
      <c r="AE25" s="13">
        <f t="shared" si="5"/>
        <v>0</v>
      </c>
      <c r="AF25" s="13">
        <f t="shared" si="6"/>
        <v>0</v>
      </c>
      <c r="AG25" s="13">
        <f t="shared" si="7"/>
        <v>0</v>
      </c>
      <c r="AH25" s="13">
        <f t="shared" si="8"/>
        <v>0</v>
      </c>
      <c r="AI25" s="13">
        <f t="shared" si="9"/>
        <v>0</v>
      </c>
      <c r="AJ25" s="13">
        <f t="shared" si="10"/>
        <v>0</v>
      </c>
      <c r="AK25" s="13">
        <f t="shared" si="11"/>
        <v>0</v>
      </c>
      <c r="AL25" s="13">
        <f t="shared" si="12"/>
        <v>0</v>
      </c>
      <c r="AM25" s="13">
        <f t="shared" si="13"/>
        <v>0</v>
      </c>
      <c r="AO25" s="14">
        <f t="shared" si="14"/>
        <v>0</v>
      </c>
      <c r="AP25" s="14">
        <f t="shared" si="0"/>
        <v>0</v>
      </c>
      <c r="AQ25" s="14">
        <f t="shared" si="0"/>
        <v>0</v>
      </c>
      <c r="AR25" s="14">
        <f t="shared" si="0"/>
        <v>0</v>
      </c>
      <c r="AS25" s="14">
        <f t="shared" si="0"/>
        <v>0</v>
      </c>
      <c r="AT25" s="14">
        <f t="shared" si="0"/>
        <v>0</v>
      </c>
      <c r="AU25" s="14">
        <f t="shared" si="0"/>
        <v>0</v>
      </c>
      <c r="AV25" s="14">
        <f t="shared" si="0"/>
        <v>0</v>
      </c>
      <c r="AW25" s="14">
        <f t="shared" si="0"/>
        <v>0</v>
      </c>
      <c r="AX25" s="14">
        <f t="shared" si="0"/>
        <v>0</v>
      </c>
      <c r="AY25" s="14">
        <f t="shared" si="0"/>
        <v>0</v>
      </c>
      <c r="AZ25" s="14">
        <f t="shared" si="0"/>
        <v>0</v>
      </c>
    </row>
    <row r="26" spans="1:52">
      <c r="A26" t="str">
        <f>Grades!A26</f>
        <v>Last_17</v>
      </c>
      <c r="B26" t="str">
        <f>Grades!B26</f>
        <v>First_17</v>
      </c>
      <c r="C26" s="12">
        <f>Grades!C26</f>
        <v>59206627</v>
      </c>
      <c r="D26" s="13">
        <f t="shared" si="1"/>
        <v>0</v>
      </c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  <c r="X26" s="13"/>
      <c r="Y26" s="13"/>
      <c r="Z26" s="13"/>
      <c r="AB26" s="13">
        <f t="shared" si="2"/>
        <v>0</v>
      </c>
      <c r="AC26" s="13">
        <f t="shared" si="3"/>
        <v>0</v>
      </c>
      <c r="AD26" s="13">
        <f t="shared" si="4"/>
        <v>0</v>
      </c>
      <c r="AE26" s="13">
        <f t="shared" si="5"/>
        <v>0</v>
      </c>
      <c r="AF26" s="13">
        <f t="shared" si="6"/>
        <v>0</v>
      </c>
      <c r="AG26" s="13">
        <f t="shared" si="7"/>
        <v>0</v>
      </c>
      <c r="AH26" s="13">
        <f t="shared" si="8"/>
        <v>0</v>
      </c>
      <c r="AI26" s="13">
        <f t="shared" si="9"/>
        <v>0</v>
      </c>
      <c r="AJ26" s="13">
        <f t="shared" si="10"/>
        <v>0</v>
      </c>
      <c r="AK26" s="13">
        <f t="shared" si="11"/>
        <v>0</v>
      </c>
      <c r="AL26" s="13">
        <f t="shared" si="12"/>
        <v>0</v>
      </c>
      <c r="AM26" s="13">
        <f t="shared" si="13"/>
        <v>0</v>
      </c>
      <c r="AO26" s="14">
        <f t="shared" si="14"/>
        <v>0</v>
      </c>
      <c r="AP26" s="14">
        <f t="shared" si="14"/>
        <v>0</v>
      </c>
      <c r="AQ26" s="14">
        <f t="shared" si="14"/>
        <v>0</v>
      </c>
      <c r="AR26" s="14">
        <f t="shared" si="14"/>
        <v>0</v>
      </c>
      <c r="AS26" s="14">
        <f t="shared" si="14"/>
        <v>0</v>
      </c>
      <c r="AT26" s="14">
        <f t="shared" si="14"/>
        <v>0</v>
      </c>
      <c r="AU26" s="14">
        <f t="shared" si="14"/>
        <v>0</v>
      </c>
      <c r="AV26" s="14">
        <f t="shared" si="14"/>
        <v>0</v>
      </c>
      <c r="AW26" s="14">
        <f t="shared" si="14"/>
        <v>0</v>
      </c>
      <c r="AX26" s="14">
        <f t="shared" si="14"/>
        <v>0</v>
      </c>
      <c r="AY26" s="14">
        <f t="shared" si="14"/>
        <v>0</v>
      </c>
      <c r="AZ26" s="14">
        <f t="shared" si="14"/>
        <v>0</v>
      </c>
    </row>
    <row r="27" spans="1:52">
      <c r="A27" t="str">
        <f>Grades!A27</f>
        <v>Last_18</v>
      </c>
      <c r="B27" t="str">
        <f>Grades!B27</f>
        <v>First_18</v>
      </c>
      <c r="C27" s="12">
        <f>Grades!C27</f>
        <v>26646083</v>
      </c>
      <c r="D27" s="13">
        <f t="shared" si="1"/>
        <v>0</v>
      </c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B27" s="13">
        <f t="shared" si="2"/>
        <v>0</v>
      </c>
      <c r="AC27" s="13">
        <f t="shared" si="3"/>
        <v>0</v>
      </c>
      <c r="AD27" s="13">
        <f t="shared" si="4"/>
        <v>0</v>
      </c>
      <c r="AE27" s="13">
        <f t="shared" si="5"/>
        <v>0</v>
      </c>
      <c r="AF27" s="13">
        <f t="shared" si="6"/>
        <v>0</v>
      </c>
      <c r="AG27" s="13">
        <f t="shared" si="7"/>
        <v>0</v>
      </c>
      <c r="AH27" s="13">
        <f t="shared" si="8"/>
        <v>0</v>
      </c>
      <c r="AI27" s="13">
        <f t="shared" si="9"/>
        <v>0</v>
      </c>
      <c r="AJ27" s="13">
        <f t="shared" si="10"/>
        <v>0</v>
      </c>
      <c r="AK27" s="13">
        <f t="shared" si="11"/>
        <v>0</v>
      </c>
      <c r="AL27" s="13">
        <f t="shared" si="12"/>
        <v>0</v>
      </c>
      <c r="AM27" s="13">
        <f t="shared" si="13"/>
        <v>0</v>
      </c>
      <c r="AO27" s="14">
        <f t="shared" si="14"/>
        <v>0</v>
      </c>
      <c r="AP27" s="14">
        <f t="shared" si="14"/>
        <v>0</v>
      </c>
      <c r="AQ27" s="14">
        <f t="shared" si="14"/>
        <v>0</v>
      </c>
      <c r="AR27" s="14">
        <f t="shared" si="14"/>
        <v>0</v>
      </c>
      <c r="AS27" s="14">
        <f t="shared" si="14"/>
        <v>0</v>
      </c>
      <c r="AT27" s="14">
        <f t="shared" si="14"/>
        <v>0</v>
      </c>
      <c r="AU27" s="14">
        <f t="shared" si="14"/>
        <v>0</v>
      </c>
      <c r="AV27" s="14">
        <f t="shared" si="14"/>
        <v>0</v>
      </c>
      <c r="AW27" s="14">
        <f t="shared" si="14"/>
        <v>0</v>
      </c>
      <c r="AX27" s="14">
        <f t="shared" si="14"/>
        <v>0</v>
      </c>
      <c r="AY27" s="14">
        <f t="shared" si="14"/>
        <v>0</v>
      </c>
      <c r="AZ27" s="14">
        <f t="shared" si="14"/>
        <v>0</v>
      </c>
    </row>
    <row r="28" spans="1:52">
      <c r="A28" t="str">
        <f>Grades!A28</f>
        <v>Last_19</v>
      </c>
      <c r="B28" t="str">
        <f>Grades!B28</f>
        <v>First_19</v>
      </c>
      <c r="C28" s="12">
        <f>Grades!C28</f>
        <v>10749714</v>
      </c>
      <c r="D28" s="13">
        <f t="shared" si="1"/>
        <v>0</v>
      </c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B28" s="13">
        <f t="shared" si="2"/>
        <v>0</v>
      </c>
      <c r="AC28" s="13">
        <f t="shared" si="3"/>
        <v>0</v>
      </c>
      <c r="AD28" s="13">
        <f t="shared" si="4"/>
        <v>0</v>
      </c>
      <c r="AE28" s="13">
        <f t="shared" si="5"/>
        <v>0</v>
      </c>
      <c r="AF28" s="13">
        <f t="shared" si="6"/>
        <v>0</v>
      </c>
      <c r="AG28" s="13">
        <f t="shared" si="7"/>
        <v>0</v>
      </c>
      <c r="AH28" s="13">
        <f t="shared" si="8"/>
        <v>0</v>
      </c>
      <c r="AI28" s="13">
        <f t="shared" si="9"/>
        <v>0</v>
      </c>
      <c r="AJ28" s="13">
        <f t="shared" si="10"/>
        <v>0</v>
      </c>
      <c r="AK28" s="13">
        <f t="shared" si="11"/>
        <v>0</v>
      </c>
      <c r="AL28" s="13">
        <f t="shared" si="12"/>
        <v>0</v>
      </c>
      <c r="AM28" s="13">
        <f t="shared" si="13"/>
        <v>0</v>
      </c>
      <c r="AO28" s="14">
        <f t="shared" si="14"/>
        <v>0</v>
      </c>
      <c r="AP28" s="14">
        <f t="shared" si="14"/>
        <v>0</v>
      </c>
      <c r="AQ28" s="14">
        <f t="shared" si="14"/>
        <v>0</v>
      </c>
      <c r="AR28" s="14">
        <f t="shared" si="14"/>
        <v>0</v>
      </c>
      <c r="AS28" s="14">
        <f t="shared" si="14"/>
        <v>0</v>
      </c>
      <c r="AT28" s="14">
        <f t="shared" si="14"/>
        <v>0</v>
      </c>
      <c r="AU28" s="14">
        <f t="shared" si="14"/>
        <v>0</v>
      </c>
      <c r="AV28" s="14">
        <f t="shared" si="14"/>
        <v>0</v>
      </c>
      <c r="AW28" s="14">
        <f t="shared" si="14"/>
        <v>0</v>
      </c>
      <c r="AX28" s="14">
        <f t="shared" si="14"/>
        <v>0</v>
      </c>
      <c r="AY28" s="14">
        <f t="shared" si="14"/>
        <v>0</v>
      </c>
      <c r="AZ28" s="14">
        <f t="shared" si="14"/>
        <v>0</v>
      </c>
    </row>
    <row r="29" spans="1:52">
      <c r="A29" t="str">
        <f>Grades!A29</f>
        <v>Last_20</v>
      </c>
      <c r="B29" t="str">
        <f>Grades!B29</f>
        <v>First_20</v>
      </c>
      <c r="C29" s="12">
        <f>Grades!C29</f>
        <v>23994145</v>
      </c>
      <c r="D29" s="13">
        <f t="shared" si="1"/>
        <v>0</v>
      </c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3"/>
      <c r="X29" s="13"/>
      <c r="Y29" s="13"/>
      <c r="Z29" s="13"/>
      <c r="AB29" s="13">
        <f t="shared" si="2"/>
        <v>0</v>
      </c>
      <c r="AC29" s="13">
        <f t="shared" si="3"/>
        <v>0</v>
      </c>
      <c r="AD29" s="13">
        <f t="shared" si="4"/>
        <v>0</v>
      </c>
      <c r="AE29" s="13">
        <f t="shared" si="5"/>
        <v>0</v>
      </c>
      <c r="AF29" s="13">
        <f t="shared" si="6"/>
        <v>0</v>
      </c>
      <c r="AG29" s="13">
        <f t="shared" si="7"/>
        <v>0</v>
      </c>
      <c r="AH29" s="13">
        <f t="shared" si="8"/>
        <v>0</v>
      </c>
      <c r="AI29" s="13">
        <f t="shared" si="9"/>
        <v>0</v>
      </c>
      <c r="AJ29" s="13">
        <f t="shared" si="10"/>
        <v>0</v>
      </c>
      <c r="AK29" s="13">
        <f t="shared" si="11"/>
        <v>0</v>
      </c>
      <c r="AL29" s="13">
        <f t="shared" si="12"/>
        <v>0</v>
      </c>
      <c r="AM29" s="13">
        <f t="shared" si="13"/>
        <v>0</v>
      </c>
      <c r="AO29" s="14">
        <f t="shared" si="14"/>
        <v>0</v>
      </c>
      <c r="AP29" s="14">
        <f t="shared" si="14"/>
        <v>0</v>
      </c>
      <c r="AQ29" s="14">
        <f t="shared" si="14"/>
        <v>0</v>
      </c>
      <c r="AR29" s="14">
        <f t="shared" si="14"/>
        <v>0</v>
      </c>
      <c r="AS29" s="14">
        <f t="shared" si="14"/>
        <v>0</v>
      </c>
      <c r="AT29" s="14">
        <f t="shared" si="14"/>
        <v>0</v>
      </c>
      <c r="AU29" s="14">
        <f t="shared" si="14"/>
        <v>0</v>
      </c>
      <c r="AV29" s="14">
        <f t="shared" si="14"/>
        <v>0</v>
      </c>
      <c r="AW29" s="14">
        <f t="shared" si="14"/>
        <v>0</v>
      </c>
      <c r="AX29" s="14">
        <f t="shared" si="14"/>
        <v>0</v>
      </c>
      <c r="AY29" s="14">
        <f t="shared" si="14"/>
        <v>0</v>
      </c>
      <c r="AZ29" s="14">
        <f t="shared" si="14"/>
        <v>0</v>
      </c>
    </row>
    <row r="30" spans="1:52">
      <c r="A30" t="str">
        <f>Grades!A30</f>
        <v>Last_21</v>
      </c>
      <c r="B30" t="str">
        <f>Grades!B30</f>
        <v>First_21</v>
      </c>
      <c r="C30" s="12">
        <f>Grades!C30</f>
        <v>61955455</v>
      </c>
      <c r="D30" s="13">
        <f t="shared" si="1"/>
        <v>0</v>
      </c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B30" s="13">
        <f t="shared" si="2"/>
        <v>0</v>
      </c>
      <c r="AC30" s="13">
        <f t="shared" si="3"/>
        <v>0</v>
      </c>
      <c r="AD30" s="13">
        <f t="shared" si="4"/>
        <v>0</v>
      </c>
      <c r="AE30" s="13">
        <f t="shared" si="5"/>
        <v>0</v>
      </c>
      <c r="AF30" s="13">
        <f t="shared" si="6"/>
        <v>0</v>
      </c>
      <c r="AG30" s="13">
        <f t="shared" si="7"/>
        <v>0</v>
      </c>
      <c r="AH30" s="13">
        <f t="shared" si="8"/>
        <v>0</v>
      </c>
      <c r="AI30" s="13">
        <f t="shared" si="9"/>
        <v>0</v>
      </c>
      <c r="AJ30" s="13">
        <f t="shared" si="10"/>
        <v>0</v>
      </c>
      <c r="AK30" s="13">
        <f t="shared" si="11"/>
        <v>0</v>
      </c>
      <c r="AL30" s="13">
        <f t="shared" si="12"/>
        <v>0</v>
      </c>
      <c r="AM30" s="13">
        <f t="shared" si="13"/>
        <v>0</v>
      </c>
      <c r="AO30" s="14">
        <f t="shared" si="14"/>
        <v>0</v>
      </c>
      <c r="AP30" s="14">
        <f t="shared" si="14"/>
        <v>0</v>
      </c>
      <c r="AQ30" s="14">
        <f t="shared" si="14"/>
        <v>0</v>
      </c>
      <c r="AR30" s="14">
        <f t="shared" si="14"/>
        <v>0</v>
      </c>
      <c r="AS30" s="14">
        <f t="shared" si="14"/>
        <v>0</v>
      </c>
      <c r="AT30" s="14">
        <f t="shared" si="14"/>
        <v>0</v>
      </c>
      <c r="AU30" s="14">
        <f t="shared" si="14"/>
        <v>0</v>
      </c>
      <c r="AV30" s="14">
        <f t="shared" si="14"/>
        <v>0</v>
      </c>
      <c r="AW30" s="14">
        <f t="shared" si="14"/>
        <v>0</v>
      </c>
      <c r="AX30" s="14">
        <f t="shared" si="14"/>
        <v>0</v>
      </c>
      <c r="AY30" s="14">
        <f t="shared" si="14"/>
        <v>0</v>
      </c>
      <c r="AZ30" s="14">
        <f t="shared" si="14"/>
        <v>0</v>
      </c>
    </row>
    <row r="31" spans="1:52">
      <c r="A31" t="str">
        <f>Grades!A31</f>
        <v>Last_22</v>
      </c>
      <c r="B31" t="str">
        <f>Grades!B31</f>
        <v>First_22</v>
      </c>
      <c r="C31" s="12">
        <f>Grades!C31</f>
        <v>21290182</v>
      </c>
      <c r="D31" s="13">
        <f t="shared" si="1"/>
        <v>0</v>
      </c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B31" s="13">
        <f t="shared" si="2"/>
        <v>0</v>
      </c>
      <c r="AC31" s="13">
        <f t="shared" si="3"/>
        <v>0</v>
      </c>
      <c r="AD31" s="13">
        <f t="shared" si="4"/>
        <v>0</v>
      </c>
      <c r="AE31" s="13">
        <f t="shared" si="5"/>
        <v>0</v>
      </c>
      <c r="AF31" s="13">
        <f t="shared" si="6"/>
        <v>0</v>
      </c>
      <c r="AG31" s="13">
        <f t="shared" si="7"/>
        <v>0</v>
      </c>
      <c r="AH31" s="13">
        <f t="shared" si="8"/>
        <v>0</v>
      </c>
      <c r="AI31" s="13">
        <f t="shared" si="9"/>
        <v>0</v>
      </c>
      <c r="AJ31" s="13">
        <f t="shared" si="10"/>
        <v>0</v>
      </c>
      <c r="AK31" s="13">
        <f t="shared" si="11"/>
        <v>0</v>
      </c>
      <c r="AL31" s="13">
        <f t="shared" si="12"/>
        <v>0</v>
      </c>
      <c r="AM31" s="13">
        <f t="shared" si="13"/>
        <v>0</v>
      </c>
      <c r="AO31" s="14">
        <f t="shared" si="14"/>
        <v>0</v>
      </c>
      <c r="AP31" s="14">
        <f t="shared" si="14"/>
        <v>0</v>
      </c>
      <c r="AQ31" s="14">
        <f t="shared" si="14"/>
        <v>0</v>
      </c>
      <c r="AR31" s="14">
        <f t="shared" si="14"/>
        <v>0</v>
      </c>
      <c r="AS31" s="14">
        <f t="shared" si="14"/>
        <v>0</v>
      </c>
      <c r="AT31" s="14">
        <f t="shared" si="14"/>
        <v>0</v>
      </c>
      <c r="AU31" s="14">
        <f t="shared" si="14"/>
        <v>0</v>
      </c>
      <c r="AV31" s="14">
        <f t="shared" si="14"/>
        <v>0</v>
      </c>
      <c r="AW31" s="14">
        <f t="shared" si="14"/>
        <v>0</v>
      </c>
      <c r="AX31" s="14">
        <f t="shared" si="14"/>
        <v>0</v>
      </c>
      <c r="AY31" s="14">
        <f t="shared" si="14"/>
        <v>0</v>
      </c>
      <c r="AZ31" s="14">
        <f t="shared" si="14"/>
        <v>0</v>
      </c>
    </row>
    <row r="32" spans="1:52">
      <c r="A32" t="str">
        <f>Grades!A32</f>
        <v>Last_23</v>
      </c>
      <c r="B32" t="str">
        <f>Grades!B32</f>
        <v>First_23</v>
      </c>
      <c r="C32" s="12">
        <f>Grades!C32</f>
        <v>5565200</v>
      </c>
      <c r="D32" s="13">
        <f t="shared" si="1"/>
        <v>0</v>
      </c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B32" s="13">
        <f t="shared" si="2"/>
        <v>0</v>
      </c>
      <c r="AC32" s="13">
        <f t="shared" si="3"/>
        <v>0</v>
      </c>
      <c r="AD32" s="13">
        <f t="shared" si="4"/>
        <v>0</v>
      </c>
      <c r="AE32" s="13">
        <f t="shared" si="5"/>
        <v>0</v>
      </c>
      <c r="AF32" s="13">
        <f t="shared" si="6"/>
        <v>0</v>
      </c>
      <c r="AG32" s="13">
        <f t="shared" si="7"/>
        <v>0</v>
      </c>
      <c r="AH32" s="13">
        <f t="shared" si="8"/>
        <v>0</v>
      </c>
      <c r="AI32" s="13">
        <f t="shared" si="9"/>
        <v>0</v>
      </c>
      <c r="AJ32" s="13">
        <f t="shared" si="10"/>
        <v>0</v>
      </c>
      <c r="AK32" s="13">
        <f t="shared" si="11"/>
        <v>0</v>
      </c>
      <c r="AL32" s="13">
        <f t="shared" si="12"/>
        <v>0</v>
      </c>
      <c r="AM32" s="13">
        <f t="shared" si="13"/>
        <v>0</v>
      </c>
      <c r="AO32" s="14">
        <f t="shared" si="14"/>
        <v>0</v>
      </c>
      <c r="AP32" s="14">
        <f t="shared" si="14"/>
        <v>0</v>
      </c>
      <c r="AQ32" s="14">
        <f t="shared" si="14"/>
        <v>0</v>
      </c>
      <c r="AR32" s="14">
        <f t="shared" si="14"/>
        <v>0</v>
      </c>
      <c r="AS32" s="14">
        <f t="shared" si="14"/>
        <v>0</v>
      </c>
      <c r="AT32" s="14">
        <f t="shared" si="14"/>
        <v>0</v>
      </c>
      <c r="AU32" s="14">
        <f t="shared" si="14"/>
        <v>0</v>
      </c>
      <c r="AV32" s="14">
        <f t="shared" si="14"/>
        <v>0</v>
      </c>
      <c r="AW32" s="14">
        <f t="shared" si="14"/>
        <v>0</v>
      </c>
      <c r="AX32" s="14">
        <f t="shared" si="14"/>
        <v>0</v>
      </c>
      <c r="AY32" s="14">
        <f t="shared" si="14"/>
        <v>0</v>
      </c>
      <c r="AZ32" s="14">
        <f t="shared" si="14"/>
        <v>0</v>
      </c>
    </row>
    <row r="33" spans="1:52">
      <c r="A33" t="str">
        <f>Grades!A33</f>
        <v>Last_24</v>
      </c>
      <c r="B33" t="str">
        <f>Grades!B33</f>
        <v>First_24</v>
      </c>
      <c r="C33" s="12">
        <f>Grades!C33</f>
        <v>13812850</v>
      </c>
      <c r="D33" s="13">
        <f t="shared" si="1"/>
        <v>0</v>
      </c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  <c r="AB33" s="13">
        <f t="shared" si="2"/>
        <v>0</v>
      </c>
      <c r="AC33" s="13">
        <f t="shared" si="3"/>
        <v>0</v>
      </c>
      <c r="AD33" s="13">
        <f t="shared" si="4"/>
        <v>0</v>
      </c>
      <c r="AE33" s="13">
        <f t="shared" si="5"/>
        <v>0</v>
      </c>
      <c r="AF33" s="13">
        <f t="shared" si="6"/>
        <v>0</v>
      </c>
      <c r="AG33" s="13">
        <f t="shared" si="7"/>
        <v>0</v>
      </c>
      <c r="AH33" s="13">
        <f t="shared" si="8"/>
        <v>0</v>
      </c>
      <c r="AI33" s="13">
        <f t="shared" si="9"/>
        <v>0</v>
      </c>
      <c r="AJ33" s="13">
        <f t="shared" si="10"/>
        <v>0</v>
      </c>
      <c r="AK33" s="13">
        <f t="shared" si="11"/>
        <v>0</v>
      </c>
      <c r="AL33" s="13">
        <f t="shared" si="12"/>
        <v>0</v>
      </c>
      <c r="AM33" s="13">
        <f t="shared" si="13"/>
        <v>0</v>
      </c>
      <c r="AO33" s="14">
        <f t="shared" si="14"/>
        <v>0</v>
      </c>
      <c r="AP33" s="14">
        <f t="shared" si="14"/>
        <v>0</v>
      </c>
      <c r="AQ33" s="14">
        <f t="shared" si="14"/>
        <v>0</v>
      </c>
      <c r="AR33" s="14">
        <f t="shared" si="14"/>
        <v>0</v>
      </c>
      <c r="AS33" s="14">
        <f t="shared" si="14"/>
        <v>0</v>
      </c>
      <c r="AT33" s="14">
        <f t="shared" si="14"/>
        <v>0</v>
      </c>
      <c r="AU33" s="14">
        <f t="shared" si="14"/>
        <v>0</v>
      </c>
      <c r="AV33" s="14">
        <f t="shared" si="14"/>
        <v>0</v>
      </c>
      <c r="AW33" s="14">
        <f t="shared" si="14"/>
        <v>0</v>
      </c>
      <c r="AX33" s="14">
        <f t="shared" si="14"/>
        <v>0</v>
      </c>
      <c r="AY33" s="14">
        <f t="shared" si="14"/>
        <v>0</v>
      </c>
      <c r="AZ33" s="14">
        <f t="shared" si="14"/>
        <v>0</v>
      </c>
    </row>
    <row r="34" spans="1:52">
      <c r="A34" t="str">
        <f>Grades!A34</f>
        <v>Last_25</v>
      </c>
      <c r="B34" t="str">
        <f>Grades!B34</f>
        <v>First_25</v>
      </c>
      <c r="C34" s="12">
        <f>Grades!C34</f>
        <v>39654039</v>
      </c>
      <c r="D34" s="13">
        <f t="shared" si="1"/>
        <v>0</v>
      </c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  <c r="Y34" s="13"/>
      <c r="Z34" s="13"/>
      <c r="AB34" s="13">
        <f t="shared" si="2"/>
        <v>0</v>
      </c>
      <c r="AC34" s="13">
        <f t="shared" si="3"/>
        <v>0</v>
      </c>
      <c r="AD34" s="13">
        <f t="shared" si="4"/>
        <v>0</v>
      </c>
      <c r="AE34" s="13">
        <f t="shared" si="5"/>
        <v>0</v>
      </c>
      <c r="AF34" s="13">
        <f t="shared" si="6"/>
        <v>0</v>
      </c>
      <c r="AG34" s="13">
        <f t="shared" si="7"/>
        <v>0</v>
      </c>
      <c r="AH34" s="13">
        <f t="shared" si="8"/>
        <v>0</v>
      </c>
      <c r="AI34" s="13">
        <f t="shared" si="9"/>
        <v>0</v>
      </c>
      <c r="AJ34" s="13">
        <f t="shared" si="10"/>
        <v>0</v>
      </c>
      <c r="AK34" s="13">
        <f t="shared" si="11"/>
        <v>0</v>
      </c>
      <c r="AL34" s="13">
        <f t="shared" si="12"/>
        <v>0</v>
      </c>
      <c r="AM34" s="13">
        <f t="shared" si="13"/>
        <v>0</v>
      </c>
      <c r="AO34" s="14">
        <f t="shared" si="14"/>
        <v>0</v>
      </c>
      <c r="AP34" s="14">
        <f t="shared" si="14"/>
        <v>0</v>
      </c>
      <c r="AQ34" s="14">
        <f t="shared" si="14"/>
        <v>0</v>
      </c>
      <c r="AR34" s="14">
        <f t="shared" si="14"/>
        <v>0</v>
      </c>
      <c r="AS34" s="14">
        <f t="shared" si="14"/>
        <v>0</v>
      </c>
      <c r="AT34" s="14">
        <f t="shared" si="14"/>
        <v>0</v>
      </c>
      <c r="AU34" s="14">
        <f t="shared" si="14"/>
        <v>0</v>
      </c>
      <c r="AV34" s="14">
        <f t="shared" si="14"/>
        <v>0</v>
      </c>
      <c r="AW34" s="14">
        <f t="shared" si="14"/>
        <v>0</v>
      </c>
      <c r="AX34" s="14">
        <f t="shared" si="14"/>
        <v>0</v>
      </c>
      <c r="AY34" s="14">
        <f t="shared" si="14"/>
        <v>0</v>
      </c>
      <c r="AZ34" s="14">
        <f t="shared" si="14"/>
        <v>0</v>
      </c>
    </row>
    <row r="35" spans="1:52">
      <c r="A35" t="str">
        <f>Grades!A35</f>
        <v>Last_26</v>
      </c>
      <c r="B35" t="str">
        <f>Grades!B35</f>
        <v>First_26</v>
      </c>
      <c r="C35" s="12">
        <f>Grades!C35</f>
        <v>15886570</v>
      </c>
      <c r="D35" s="13">
        <f t="shared" si="1"/>
        <v>0</v>
      </c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  <c r="Y35" s="13"/>
      <c r="Z35" s="13"/>
      <c r="AB35" s="13">
        <f t="shared" si="2"/>
        <v>0</v>
      </c>
      <c r="AC35" s="13">
        <f t="shared" si="3"/>
        <v>0</v>
      </c>
      <c r="AD35" s="13">
        <f t="shared" si="4"/>
        <v>0</v>
      </c>
      <c r="AE35" s="13">
        <f t="shared" si="5"/>
        <v>0</v>
      </c>
      <c r="AF35" s="13">
        <f t="shared" si="6"/>
        <v>0</v>
      </c>
      <c r="AG35" s="13">
        <f t="shared" si="7"/>
        <v>0</v>
      </c>
      <c r="AH35" s="13">
        <f t="shared" si="8"/>
        <v>0</v>
      </c>
      <c r="AI35" s="13">
        <f t="shared" si="9"/>
        <v>0</v>
      </c>
      <c r="AJ35" s="13">
        <f t="shared" si="10"/>
        <v>0</v>
      </c>
      <c r="AK35" s="13">
        <f t="shared" si="11"/>
        <v>0</v>
      </c>
      <c r="AL35" s="13">
        <f t="shared" si="12"/>
        <v>0</v>
      </c>
      <c r="AM35" s="13">
        <f t="shared" si="13"/>
        <v>0</v>
      </c>
      <c r="AO35" s="14">
        <f t="shared" si="14"/>
        <v>0</v>
      </c>
      <c r="AP35" s="14">
        <f t="shared" si="14"/>
        <v>0</v>
      </c>
      <c r="AQ35" s="14">
        <f t="shared" si="14"/>
        <v>0</v>
      </c>
      <c r="AR35" s="14">
        <f t="shared" si="14"/>
        <v>0</v>
      </c>
      <c r="AS35" s="14">
        <f t="shared" si="14"/>
        <v>0</v>
      </c>
      <c r="AT35" s="14">
        <f t="shared" si="14"/>
        <v>0</v>
      </c>
      <c r="AU35" s="14">
        <f t="shared" si="14"/>
        <v>0</v>
      </c>
      <c r="AV35" s="14">
        <f t="shared" si="14"/>
        <v>0</v>
      </c>
      <c r="AW35" s="14">
        <f t="shared" si="14"/>
        <v>0</v>
      </c>
      <c r="AX35" s="14">
        <f t="shared" si="14"/>
        <v>0</v>
      </c>
      <c r="AY35" s="14">
        <f t="shared" si="14"/>
        <v>0</v>
      </c>
      <c r="AZ35" s="14">
        <f t="shared" si="14"/>
        <v>0</v>
      </c>
    </row>
    <row r="36" spans="1:52">
      <c r="A36" t="str">
        <f>Grades!A36</f>
        <v>Last_27</v>
      </c>
      <c r="B36" t="str">
        <f>Grades!B36</f>
        <v>First_27</v>
      </c>
      <c r="C36" s="12">
        <f>Grades!C36</f>
        <v>15162223</v>
      </c>
      <c r="D36" s="13">
        <f t="shared" si="1"/>
        <v>0</v>
      </c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3"/>
      <c r="AB36" s="13">
        <f t="shared" si="2"/>
        <v>0</v>
      </c>
      <c r="AC36" s="13">
        <f t="shared" si="3"/>
        <v>0</v>
      </c>
      <c r="AD36" s="13">
        <f t="shared" si="4"/>
        <v>0</v>
      </c>
      <c r="AE36" s="13">
        <f t="shared" si="5"/>
        <v>0</v>
      </c>
      <c r="AF36" s="13">
        <f t="shared" si="6"/>
        <v>0</v>
      </c>
      <c r="AG36" s="13">
        <f t="shared" si="7"/>
        <v>0</v>
      </c>
      <c r="AH36" s="13">
        <f t="shared" si="8"/>
        <v>0</v>
      </c>
      <c r="AI36" s="13">
        <f t="shared" si="9"/>
        <v>0</v>
      </c>
      <c r="AJ36" s="13">
        <f t="shared" si="10"/>
        <v>0</v>
      </c>
      <c r="AK36" s="13">
        <f t="shared" si="11"/>
        <v>0</v>
      </c>
      <c r="AL36" s="13">
        <f t="shared" si="12"/>
        <v>0</v>
      </c>
      <c r="AM36" s="13">
        <f t="shared" si="13"/>
        <v>0</v>
      </c>
      <c r="AO36" s="14">
        <f t="shared" si="14"/>
        <v>0</v>
      </c>
      <c r="AP36" s="14">
        <f t="shared" si="14"/>
        <v>0</v>
      </c>
      <c r="AQ36" s="14">
        <f t="shared" si="14"/>
        <v>0</v>
      </c>
      <c r="AR36" s="14">
        <f t="shared" si="14"/>
        <v>0</v>
      </c>
      <c r="AS36" s="14">
        <f t="shared" si="14"/>
        <v>0</v>
      </c>
      <c r="AT36" s="14">
        <f t="shared" si="14"/>
        <v>0</v>
      </c>
      <c r="AU36" s="14">
        <f t="shared" si="14"/>
        <v>0</v>
      </c>
      <c r="AV36" s="14">
        <f t="shared" si="14"/>
        <v>0</v>
      </c>
      <c r="AW36" s="14">
        <f t="shared" si="14"/>
        <v>0</v>
      </c>
      <c r="AX36" s="14">
        <f t="shared" si="14"/>
        <v>0</v>
      </c>
      <c r="AY36" s="14">
        <f t="shared" si="14"/>
        <v>0</v>
      </c>
      <c r="AZ36" s="14">
        <f t="shared" si="14"/>
        <v>0</v>
      </c>
    </row>
    <row r="37" spans="1:52">
      <c r="A37" t="str">
        <f>Grades!A37</f>
        <v>Last_28</v>
      </c>
      <c r="B37" t="str">
        <f>Grades!B37</f>
        <v>First_28</v>
      </c>
      <c r="C37" s="12">
        <f>Grades!C37</f>
        <v>6694126</v>
      </c>
      <c r="D37" s="13">
        <f t="shared" si="1"/>
        <v>0</v>
      </c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B37" s="13">
        <f t="shared" si="2"/>
        <v>0</v>
      </c>
      <c r="AC37" s="13">
        <f t="shared" si="3"/>
        <v>0</v>
      </c>
      <c r="AD37" s="13">
        <f t="shared" si="4"/>
        <v>0</v>
      </c>
      <c r="AE37" s="13">
        <f t="shared" si="5"/>
        <v>0</v>
      </c>
      <c r="AF37" s="13">
        <f t="shared" si="6"/>
        <v>0</v>
      </c>
      <c r="AG37" s="13">
        <f t="shared" si="7"/>
        <v>0</v>
      </c>
      <c r="AH37" s="13">
        <f t="shared" si="8"/>
        <v>0</v>
      </c>
      <c r="AI37" s="13">
        <f t="shared" si="9"/>
        <v>0</v>
      </c>
      <c r="AJ37" s="13">
        <f t="shared" si="10"/>
        <v>0</v>
      </c>
      <c r="AK37" s="13">
        <f t="shared" si="11"/>
        <v>0</v>
      </c>
      <c r="AL37" s="13">
        <f t="shared" si="12"/>
        <v>0</v>
      </c>
      <c r="AM37" s="13">
        <f t="shared" si="13"/>
        <v>0</v>
      </c>
      <c r="AO37" s="14">
        <f t="shared" si="14"/>
        <v>0</v>
      </c>
      <c r="AP37" s="14">
        <f t="shared" si="14"/>
        <v>0</v>
      </c>
      <c r="AQ37" s="14">
        <f t="shared" si="14"/>
        <v>0</v>
      </c>
      <c r="AR37" s="14">
        <f t="shared" si="14"/>
        <v>0</v>
      </c>
      <c r="AS37" s="14">
        <f t="shared" si="14"/>
        <v>0</v>
      </c>
      <c r="AT37" s="14">
        <f t="shared" si="14"/>
        <v>0</v>
      </c>
      <c r="AU37" s="14">
        <f>IF(AH$9&gt;0,AH37/AH$9,0)</f>
        <v>0</v>
      </c>
      <c r="AV37" s="14">
        <f t="shared" si="14"/>
        <v>0</v>
      </c>
      <c r="AW37" s="14">
        <f t="shared" si="14"/>
        <v>0</v>
      </c>
      <c r="AX37" s="14">
        <f t="shared" si="14"/>
        <v>0</v>
      </c>
      <c r="AY37" s="14">
        <f t="shared" si="14"/>
        <v>0</v>
      </c>
      <c r="AZ37" s="14">
        <f t="shared" si="14"/>
        <v>0</v>
      </c>
    </row>
    <row r="38" spans="1:52">
      <c r="A38">
        <f>Grades!A38</f>
        <v>0</v>
      </c>
      <c r="B38">
        <f>Grades!B38</f>
        <v>0</v>
      </c>
      <c r="C38" s="12">
        <f>Grades!C38</f>
        <v>0</v>
      </c>
      <c r="D38" s="13">
        <f t="shared" si="1"/>
        <v>0</v>
      </c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3"/>
      <c r="Y38" s="13"/>
      <c r="Z38" s="13"/>
      <c r="AB38" s="13">
        <f t="shared" si="2"/>
        <v>0</v>
      </c>
      <c r="AC38" s="13">
        <f t="shared" si="3"/>
        <v>0</v>
      </c>
      <c r="AD38" s="13">
        <f t="shared" si="4"/>
        <v>0</v>
      </c>
      <c r="AE38" s="13">
        <f t="shared" si="5"/>
        <v>0</v>
      </c>
      <c r="AF38" s="13">
        <f t="shared" si="6"/>
        <v>0</v>
      </c>
      <c r="AG38" s="13">
        <f t="shared" si="7"/>
        <v>0</v>
      </c>
      <c r="AH38" s="13">
        <f t="shared" si="8"/>
        <v>0</v>
      </c>
      <c r="AI38" s="13">
        <f t="shared" si="9"/>
        <v>0</v>
      </c>
      <c r="AJ38" s="13">
        <f t="shared" si="10"/>
        <v>0</v>
      </c>
      <c r="AK38" s="13">
        <f t="shared" si="11"/>
        <v>0</v>
      </c>
      <c r="AL38" s="13">
        <f t="shared" si="12"/>
        <v>0</v>
      </c>
      <c r="AM38" s="13">
        <f t="shared" si="13"/>
        <v>0</v>
      </c>
      <c r="AO38" s="14">
        <f t="shared" si="14"/>
        <v>0</v>
      </c>
      <c r="AP38" s="14">
        <f t="shared" si="14"/>
        <v>0</v>
      </c>
      <c r="AQ38" s="14">
        <f t="shared" si="14"/>
        <v>0</v>
      </c>
      <c r="AR38" s="14">
        <f t="shared" si="14"/>
        <v>0</v>
      </c>
      <c r="AS38" s="14">
        <f t="shared" si="14"/>
        <v>0</v>
      </c>
      <c r="AT38" s="14">
        <f t="shared" si="14"/>
        <v>0</v>
      </c>
      <c r="AU38" s="14">
        <f t="shared" si="14"/>
        <v>0</v>
      </c>
      <c r="AV38" s="14">
        <f t="shared" si="14"/>
        <v>0</v>
      </c>
      <c r="AW38" s="14">
        <f t="shared" si="14"/>
        <v>0</v>
      </c>
      <c r="AX38" s="14">
        <f t="shared" si="14"/>
        <v>0</v>
      </c>
      <c r="AY38" s="14">
        <f t="shared" si="14"/>
        <v>0</v>
      </c>
      <c r="AZ38" s="14">
        <f t="shared" si="14"/>
        <v>0</v>
      </c>
    </row>
    <row r="39" spans="1:52">
      <c r="A39">
        <f>Grades!A39</f>
        <v>0</v>
      </c>
      <c r="B39">
        <f>Grades!B39</f>
        <v>0</v>
      </c>
      <c r="C39" s="12">
        <f>Grades!C39</f>
        <v>0</v>
      </c>
      <c r="D39" s="13">
        <f t="shared" si="1"/>
        <v>0</v>
      </c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Y39" s="13"/>
      <c r="Z39" s="13"/>
      <c r="AB39" s="13">
        <f t="shared" si="2"/>
        <v>0</v>
      </c>
      <c r="AC39" s="13">
        <f t="shared" si="3"/>
        <v>0</v>
      </c>
      <c r="AD39" s="13">
        <f t="shared" si="4"/>
        <v>0</v>
      </c>
      <c r="AE39" s="13">
        <f t="shared" si="5"/>
        <v>0</v>
      </c>
      <c r="AF39" s="13">
        <f t="shared" si="6"/>
        <v>0</v>
      </c>
      <c r="AG39" s="13">
        <f t="shared" si="7"/>
        <v>0</v>
      </c>
      <c r="AH39" s="13">
        <f t="shared" si="8"/>
        <v>0</v>
      </c>
      <c r="AI39" s="13">
        <f t="shared" si="9"/>
        <v>0</v>
      </c>
      <c r="AJ39" s="13">
        <f t="shared" si="10"/>
        <v>0</v>
      </c>
      <c r="AK39" s="13">
        <f t="shared" si="11"/>
        <v>0</v>
      </c>
      <c r="AL39" s="13">
        <f t="shared" si="12"/>
        <v>0</v>
      </c>
      <c r="AM39" s="13">
        <f t="shared" si="13"/>
        <v>0</v>
      </c>
      <c r="AO39" s="14">
        <f t="shared" si="14"/>
        <v>0</v>
      </c>
      <c r="AP39" s="14">
        <f t="shared" si="14"/>
        <v>0</v>
      </c>
      <c r="AQ39" s="14">
        <f t="shared" si="14"/>
        <v>0</v>
      </c>
      <c r="AR39" s="14">
        <f t="shared" si="14"/>
        <v>0</v>
      </c>
      <c r="AS39" s="14">
        <f t="shared" si="14"/>
        <v>0</v>
      </c>
      <c r="AT39" s="14">
        <f t="shared" si="14"/>
        <v>0</v>
      </c>
      <c r="AU39" s="14">
        <f t="shared" si="14"/>
        <v>0</v>
      </c>
      <c r="AV39" s="14">
        <f t="shared" si="14"/>
        <v>0</v>
      </c>
      <c r="AW39" s="14">
        <f t="shared" si="14"/>
        <v>0</v>
      </c>
      <c r="AX39" s="14">
        <f t="shared" si="14"/>
        <v>0</v>
      </c>
      <c r="AY39" s="14">
        <f t="shared" si="14"/>
        <v>0</v>
      </c>
      <c r="AZ39" s="14">
        <f t="shared" si="14"/>
        <v>0</v>
      </c>
    </row>
    <row r="40" spans="1:52">
      <c r="A40">
        <f>Grades!A40</f>
        <v>0</v>
      </c>
      <c r="B40">
        <f>Grades!B40</f>
        <v>0</v>
      </c>
      <c r="C40" s="12">
        <f>Grades!C40</f>
        <v>0</v>
      </c>
      <c r="D40" s="13">
        <f t="shared" si="1"/>
        <v>0</v>
      </c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Y40" s="13"/>
      <c r="Z40" s="13"/>
      <c r="AB40" s="13">
        <f t="shared" si="2"/>
        <v>0</v>
      </c>
      <c r="AC40" s="13">
        <f t="shared" si="3"/>
        <v>0</v>
      </c>
      <c r="AD40" s="13">
        <f t="shared" si="4"/>
        <v>0</v>
      </c>
      <c r="AE40" s="13">
        <f t="shared" si="5"/>
        <v>0</v>
      </c>
      <c r="AF40" s="13">
        <f t="shared" si="6"/>
        <v>0</v>
      </c>
      <c r="AG40" s="13">
        <f t="shared" si="7"/>
        <v>0</v>
      </c>
      <c r="AH40" s="13">
        <f t="shared" si="8"/>
        <v>0</v>
      </c>
      <c r="AI40" s="13">
        <f t="shared" si="9"/>
        <v>0</v>
      </c>
      <c r="AJ40" s="13">
        <f t="shared" si="10"/>
        <v>0</v>
      </c>
      <c r="AK40" s="13">
        <f t="shared" si="11"/>
        <v>0</v>
      </c>
      <c r="AL40" s="13">
        <f t="shared" si="12"/>
        <v>0</v>
      </c>
      <c r="AM40" s="13">
        <f t="shared" si="13"/>
        <v>0</v>
      </c>
      <c r="AO40" s="14">
        <f t="shared" si="14"/>
        <v>0</v>
      </c>
      <c r="AP40" s="14">
        <f t="shared" si="14"/>
        <v>0</v>
      </c>
      <c r="AQ40" s="14">
        <f t="shared" si="14"/>
        <v>0</v>
      </c>
      <c r="AR40" s="14">
        <f t="shared" si="14"/>
        <v>0</v>
      </c>
      <c r="AS40" s="14">
        <f t="shared" si="14"/>
        <v>0</v>
      </c>
      <c r="AT40" s="14">
        <f t="shared" si="14"/>
        <v>0</v>
      </c>
      <c r="AU40" s="14">
        <f t="shared" si="14"/>
        <v>0</v>
      </c>
      <c r="AV40" s="14">
        <f t="shared" si="14"/>
        <v>0</v>
      </c>
      <c r="AW40" s="14">
        <f t="shared" si="14"/>
        <v>0</v>
      </c>
      <c r="AX40" s="14">
        <f t="shared" si="14"/>
        <v>0</v>
      </c>
      <c r="AY40" s="14">
        <f t="shared" si="14"/>
        <v>0</v>
      </c>
      <c r="AZ40" s="14">
        <f t="shared" si="14"/>
        <v>0</v>
      </c>
    </row>
    <row r="41" spans="1:52">
      <c r="A41">
        <f>Grades!A41</f>
        <v>0</v>
      </c>
      <c r="B41">
        <f>Grades!B41</f>
        <v>0</v>
      </c>
      <c r="C41" s="12">
        <f>Grades!C41</f>
        <v>0</v>
      </c>
      <c r="D41" s="13">
        <f t="shared" si="1"/>
        <v>0</v>
      </c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3"/>
      <c r="Y41" s="13"/>
      <c r="Z41" s="13"/>
      <c r="AB41" s="13">
        <f t="shared" si="2"/>
        <v>0</v>
      </c>
      <c r="AC41" s="13">
        <f t="shared" si="3"/>
        <v>0</v>
      </c>
      <c r="AD41" s="13">
        <f t="shared" si="4"/>
        <v>0</v>
      </c>
      <c r="AE41" s="13">
        <f t="shared" si="5"/>
        <v>0</v>
      </c>
      <c r="AF41" s="13">
        <f t="shared" si="6"/>
        <v>0</v>
      </c>
      <c r="AG41" s="13">
        <f t="shared" si="7"/>
        <v>0</v>
      </c>
      <c r="AH41" s="13">
        <f t="shared" si="8"/>
        <v>0</v>
      </c>
      <c r="AI41" s="13">
        <f t="shared" si="9"/>
        <v>0</v>
      </c>
      <c r="AJ41" s="13">
        <f t="shared" si="10"/>
        <v>0</v>
      </c>
      <c r="AK41" s="13">
        <f t="shared" si="11"/>
        <v>0</v>
      </c>
      <c r="AL41" s="13">
        <f t="shared" si="12"/>
        <v>0</v>
      </c>
      <c r="AM41" s="13">
        <f t="shared" si="13"/>
        <v>0</v>
      </c>
      <c r="AO41" s="14">
        <f t="shared" si="14"/>
        <v>0</v>
      </c>
      <c r="AP41" s="14">
        <f t="shared" si="14"/>
        <v>0</v>
      </c>
      <c r="AQ41" s="14">
        <f t="shared" si="14"/>
        <v>0</v>
      </c>
      <c r="AR41" s="14">
        <f t="shared" si="14"/>
        <v>0</v>
      </c>
      <c r="AS41" s="14">
        <f t="shared" si="14"/>
        <v>0</v>
      </c>
      <c r="AT41" s="14">
        <f t="shared" si="14"/>
        <v>0</v>
      </c>
      <c r="AU41" s="14">
        <f t="shared" si="14"/>
        <v>0</v>
      </c>
      <c r="AV41" s="14">
        <f t="shared" si="14"/>
        <v>0</v>
      </c>
      <c r="AW41" s="14">
        <f t="shared" si="14"/>
        <v>0</v>
      </c>
      <c r="AX41" s="14">
        <f t="shared" si="14"/>
        <v>0</v>
      </c>
      <c r="AY41" s="14">
        <f t="shared" si="14"/>
        <v>0</v>
      </c>
      <c r="AZ41" s="14">
        <f t="shared" si="14"/>
        <v>0</v>
      </c>
    </row>
    <row r="42" spans="1:52">
      <c r="A42">
        <f>Grades!A42</f>
        <v>0</v>
      </c>
      <c r="B42">
        <f>Grades!B42</f>
        <v>0</v>
      </c>
      <c r="C42" s="12">
        <f>Grades!C42</f>
        <v>0</v>
      </c>
      <c r="D42" s="13">
        <f t="shared" si="1"/>
        <v>0</v>
      </c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13"/>
      <c r="Y42" s="13"/>
      <c r="Z42" s="13"/>
      <c r="AB42" s="13">
        <f t="shared" si="2"/>
        <v>0</v>
      </c>
      <c r="AC42" s="13">
        <f t="shared" si="3"/>
        <v>0</v>
      </c>
      <c r="AD42" s="13">
        <f t="shared" si="4"/>
        <v>0</v>
      </c>
      <c r="AE42" s="13">
        <f t="shared" si="5"/>
        <v>0</v>
      </c>
      <c r="AF42" s="13">
        <f t="shared" si="6"/>
        <v>0</v>
      </c>
      <c r="AG42" s="13">
        <f t="shared" si="7"/>
        <v>0</v>
      </c>
      <c r="AH42" s="13">
        <f t="shared" si="8"/>
        <v>0</v>
      </c>
      <c r="AI42" s="13">
        <f t="shared" si="9"/>
        <v>0</v>
      </c>
      <c r="AJ42" s="13">
        <f t="shared" si="10"/>
        <v>0</v>
      </c>
      <c r="AK42" s="13">
        <f t="shared" si="11"/>
        <v>0</v>
      </c>
      <c r="AL42" s="13">
        <f t="shared" si="12"/>
        <v>0</v>
      </c>
      <c r="AM42" s="13">
        <f t="shared" si="13"/>
        <v>0</v>
      </c>
      <c r="AO42" s="14">
        <f t="shared" si="14"/>
        <v>0</v>
      </c>
      <c r="AP42" s="14">
        <f t="shared" si="14"/>
        <v>0</v>
      </c>
      <c r="AQ42" s="14">
        <f t="shared" si="14"/>
        <v>0</v>
      </c>
      <c r="AR42" s="14">
        <f t="shared" si="14"/>
        <v>0</v>
      </c>
      <c r="AS42" s="14">
        <f t="shared" si="14"/>
        <v>0</v>
      </c>
      <c r="AT42" s="14">
        <f t="shared" si="14"/>
        <v>0</v>
      </c>
      <c r="AU42" s="14">
        <f t="shared" si="14"/>
        <v>0</v>
      </c>
      <c r="AV42" s="14">
        <f t="shared" si="14"/>
        <v>0</v>
      </c>
      <c r="AW42" s="14">
        <f t="shared" si="14"/>
        <v>0</v>
      </c>
      <c r="AX42" s="14">
        <f t="shared" si="14"/>
        <v>0</v>
      </c>
      <c r="AY42" s="14">
        <f t="shared" si="14"/>
        <v>0</v>
      </c>
      <c r="AZ42" s="14">
        <f t="shared" si="14"/>
        <v>0</v>
      </c>
    </row>
    <row r="43" spans="1:52">
      <c r="A43">
        <f>Grades!A43</f>
        <v>0</v>
      </c>
      <c r="B43">
        <f>Grades!B43</f>
        <v>0</v>
      </c>
      <c r="C43" s="12">
        <f>Grades!C43</f>
        <v>0</v>
      </c>
      <c r="D43" s="13">
        <f t="shared" si="1"/>
        <v>0</v>
      </c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13"/>
      <c r="Y43" s="13"/>
      <c r="Z43" s="13"/>
      <c r="AB43" s="13">
        <f t="shared" si="2"/>
        <v>0</v>
      </c>
      <c r="AC43" s="13">
        <f t="shared" si="3"/>
        <v>0</v>
      </c>
      <c r="AD43" s="13">
        <f t="shared" si="4"/>
        <v>0</v>
      </c>
      <c r="AE43" s="13">
        <f t="shared" si="5"/>
        <v>0</v>
      </c>
      <c r="AF43" s="13">
        <f t="shared" si="6"/>
        <v>0</v>
      </c>
      <c r="AG43" s="13">
        <f t="shared" si="7"/>
        <v>0</v>
      </c>
      <c r="AH43" s="13">
        <f t="shared" si="8"/>
        <v>0</v>
      </c>
      <c r="AI43" s="13">
        <f t="shared" si="9"/>
        <v>0</v>
      </c>
      <c r="AJ43" s="13">
        <f t="shared" si="10"/>
        <v>0</v>
      </c>
      <c r="AK43" s="13">
        <f t="shared" si="11"/>
        <v>0</v>
      </c>
      <c r="AL43" s="13">
        <f t="shared" si="12"/>
        <v>0</v>
      </c>
      <c r="AM43" s="13">
        <f t="shared" si="13"/>
        <v>0</v>
      </c>
      <c r="AO43" s="14">
        <f t="shared" si="14"/>
        <v>0</v>
      </c>
      <c r="AP43" s="14">
        <f t="shared" si="14"/>
        <v>0</v>
      </c>
      <c r="AQ43" s="14">
        <f t="shared" si="14"/>
        <v>0</v>
      </c>
      <c r="AR43" s="14">
        <f t="shared" si="14"/>
        <v>0</v>
      </c>
      <c r="AS43" s="14">
        <f t="shared" si="14"/>
        <v>0</v>
      </c>
      <c r="AT43" s="14">
        <f t="shared" si="14"/>
        <v>0</v>
      </c>
      <c r="AU43" s="14">
        <f t="shared" si="14"/>
        <v>0</v>
      </c>
      <c r="AV43" s="14">
        <f t="shared" si="14"/>
        <v>0</v>
      </c>
      <c r="AW43" s="14">
        <f t="shared" si="14"/>
        <v>0</v>
      </c>
      <c r="AX43" s="14">
        <f t="shared" si="14"/>
        <v>0</v>
      </c>
      <c r="AY43" s="14">
        <f t="shared" si="14"/>
        <v>0</v>
      </c>
      <c r="AZ43" s="14">
        <f t="shared" si="14"/>
        <v>0</v>
      </c>
    </row>
    <row r="44" spans="1:52">
      <c r="A44">
        <f>Grades!A44</f>
        <v>0</v>
      </c>
      <c r="B44">
        <f>Grades!B44</f>
        <v>0</v>
      </c>
      <c r="C44" s="12">
        <f>Grades!C44</f>
        <v>0</v>
      </c>
      <c r="D44" s="13">
        <f t="shared" si="1"/>
        <v>0</v>
      </c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3"/>
      <c r="X44" s="13"/>
      <c r="Y44" s="13"/>
      <c r="Z44" s="13"/>
      <c r="AB44" s="13">
        <f t="shared" si="2"/>
        <v>0</v>
      </c>
      <c r="AC44" s="13">
        <f t="shared" si="3"/>
        <v>0</v>
      </c>
      <c r="AD44" s="13">
        <f t="shared" si="4"/>
        <v>0</v>
      </c>
      <c r="AE44" s="13">
        <f t="shared" si="5"/>
        <v>0</v>
      </c>
      <c r="AF44" s="13">
        <f t="shared" si="6"/>
        <v>0</v>
      </c>
      <c r="AG44" s="13">
        <f t="shared" si="7"/>
        <v>0</v>
      </c>
      <c r="AH44" s="13">
        <f t="shared" si="8"/>
        <v>0</v>
      </c>
      <c r="AI44" s="13">
        <f t="shared" si="9"/>
        <v>0</v>
      </c>
      <c r="AJ44" s="13">
        <f t="shared" si="10"/>
        <v>0</v>
      </c>
      <c r="AK44" s="13">
        <f t="shared" si="11"/>
        <v>0</v>
      </c>
      <c r="AL44" s="13">
        <f t="shared" si="12"/>
        <v>0</v>
      </c>
      <c r="AM44" s="13">
        <f t="shared" si="13"/>
        <v>0</v>
      </c>
      <c r="AO44" s="14">
        <f t="shared" si="14"/>
        <v>0</v>
      </c>
      <c r="AP44" s="14">
        <f t="shared" si="14"/>
        <v>0</v>
      </c>
      <c r="AQ44" s="14">
        <f t="shared" si="14"/>
        <v>0</v>
      </c>
      <c r="AR44" s="14">
        <f t="shared" si="14"/>
        <v>0</v>
      </c>
      <c r="AS44" s="14">
        <f t="shared" si="14"/>
        <v>0</v>
      </c>
      <c r="AT44" s="14">
        <f t="shared" si="14"/>
        <v>0</v>
      </c>
      <c r="AU44" s="14">
        <f t="shared" si="14"/>
        <v>0</v>
      </c>
      <c r="AV44" s="14">
        <f t="shared" si="14"/>
        <v>0</v>
      </c>
      <c r="AW44" s="14">
        <f t="shared" si="14"/>
        <v>0</v>
      </c>
      <c r="AX44" s="14">
        <f t="shared" si="14"/>
        <v>0</v>
      </c>
      <c r="AY44" s="14">
        <f t="shared" si="14"/>
        <v>0</v>
      </c>
      <c r="AZ44" s="14">
        <f t="shared" si="14"/>
        <v>0</v>
      </c>
    </row>
    <row r="45" spans="1:52">
      <c r="A45">
        <f>Grades!A45</f>
        <v>0</v>
      </c>
      <c r="B45">
        <f>Grades!B45</f>
        <v>0</v>
      </c>
      <c r="C45" s="12">
        <f>Grades!C45</f>
        <v>0</v>
      </c>
      <c r="D45" s="13">
        <f t="shared" si="1"/>
        <v>0</v>
      </c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3"/>
      <c r="X45" s="13"/>
      <c r="Y45" s="13"/>
      <c r="Z45" s="13"/>
      <c r="AB45" s="13">
        <f t="shared" si="2"/>
        <v>0</v>
      </c>
      <c r="AC45" s="13">
        <f t="shared" si="3"/>
        <v>0</v>
      </c>
      <c r="AD45" s="13">
        <f t="shared" si="4"/>
        <v>0</v>
      </c>
      <c r="AE45" s="13">
        <f t="shared" si="5"/>
        <v>0</v>
      </c>
      <c r="AF45" s="13">
        <f t="shared" si="6"/>
        <v>0</v>
      </c>
      <c r="AG45" s="13">
        <f t="shared" si="7"/>
        <v>0</v>
      </c>
      <c r="AH45" s="13">
        <f t="shared" si="8"/>
        <v>0</v>
      </c>
      <c r="AI45" s="13">
        <f t="shared" si="9"/>
        <v>0</v>
      </c>
      <c r="AJ45" s="13">
        <f t="shared" si="10"/>
        <v>0</v>
      </c>
      <c r="AK45" s="13">
        <f t="shared" si="11"/>
        <v>0</v>
      </c>
      <c r="AL45" s="13">
        <f t="shared" si="12"/>
        <v>0</v>
      </c>
      <c r="AM45" s="13">
        <f t="shared" si="13"/>
        <v>0</v>
      </c>
      <c r="AO45" s="14">
        <f t="shared" si="14"/>
        <v>0</v>
      </c>
      <c r="AP45" s="14">
        <f t="shared" si="14"/>
        <v>0</v>
      </c>
      <c r="AQ45" s="14">
        <f t="shared" si="14"/>
        <v>0</v>
      </c>
      <c r="AR45" s="14">
        <f t="shared" si="14"/>
        <v>0</v>
      </c>
      <c r="AS45" s="14">
        <f t="shared" si="14"/>
        <v>0</v>
      </c>
      <c r="AT45" s="14">
        <f t="shared" si="14"/>
        <v>0</v>
      </c>
      <c r="AU45" s="14">
        <f t="shared" si="14"/>
        <v>0</v>
      </c>
      <c r="AV45" s="14">
        <f t="shared" si="14"/>
        <v>0</v>
      </c>
      <c r="AW45" s="14">
        <f t="shared" si="14"/>
        <v>0</v>
      </c>
      <c r="AX45" s="14">
        <f t="shared" si="14"/>
        <v>0</v>
      </c>
      <c r="AY45" s="14">
        <f t="shared" si="14"/>
        <v>0</v>
      </c>
      <c r="AZ45" s="14">
        <f t="shared" si="14"/>
        <v>0</v>
      </c>
    </row>
    <row r="46" spans="1:52">
      <c r="A46">
        <f>Grades!A46</f>
        <v>0</v>
      </c>
      <c r="B46">
        <f>Grades!B46</f>
        <v>0</v>
      </c>
      <c r="C46" s="12">
        <f>Grades!C46</f>
        <v>0</v>
      </c>
      <c r="D46" s="13">
        <f t="shared" si="1"/>
        <v>0</v>
      </c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3"/>
      <c r="X46" s="13"/>
      <c r="Y46" s="13"/>
      <c r="Z46" s="13"/>
      <c r="AB46" s="13">
        <f t="shared" si="2"/>
        <v>0</v>
      </c>
      <c r="AC46" s="13">
        <f t="shared" si="3"/>
        <v>0</v>
      </c>
      <c r="AD46" s="13">
        <f t="shared" si="4"/>
        <v>0</v>
      </c>
      <c r="AE46" s="13">
        <f t="shared" si="5"/>
        <v>0</v>
      </c>
      <c r="AF46" s="13">
        <f t="shared" si="6"/>
        <v>0</v>
      </c>
      <c r="AG46" s="13">
        <f t="shared" si="7"/>
        <v>0</v>
      </c>
      <c r="AH46" s="13">
        <f t="shared" si="8"/>
        <v>0</v>
      </c>
      <c r="AI46" s="13">
        <f t="shared" si="9"/>
        <v>0</v>
      </c>
      <c r="AJ46" s="13">
        <f t="shared" si="10"/>
        <v>0</v>
      </c>
      <c r="AK46" s="13">
        <f t="shared" si="11"/>
        <v>0</v>
      </c>
      <c r="AL46" s="13">
        <f t="shared" si="12"/>
        <v>0</v>
      </c>
      <c r="AM46" s="13">
        <f t="shared" si="13"/>
        <v>0</v>
      </c>
      <c r="AO46" s="14">
        <f t="shared" si="14"/>
        <v>0</v>
      </c>
      <c r="AP46" s="14">
        <f t="shared" ref="AP46:AZ69" si="16">IF(AC$9&gt;0,AC46/AC$9,0)</f>
        <v>0</v>
      </c>
      <c r="AQ46" s="14">
        <f t="shared" si="16"/>
        <v>0</v>
      </c>
      <c r="AR46" s="14">
        <f t="shared" si="16"/>
        <v>0</v>
      </c>
      <c r="AS46" s="14">
        <f t="shared" si="16"/>
        <v>0</v>
      </c>
      <c r="AT46" s="14">
        <f t="shared" si="16"/>
        <v>0</v>
      </c>
      <c r="AU46" s="14">
        <f t="shared" si="16"/>
        <v>0</v>
      </c>
      <c r="AV46" s="14">
        <f t="shared" si="16"/>
        <v>0</v>
      </c>
      <c r="AW46" s="14">
        <f t="shared" si="16"/>
        <v>0</v>
      </c>
      <c r="AX46" s="14">
        <f t="shared" si="16"/>
        <v>0</v>
      </c>
      <c r="AY46" s="14">
        <f t="shared" si="16"/>
        <v>0</v>
      </c>
      <c r="AZ46" s="14">
        <f t="shared" si="16"/>
        <v>0</v>
      </c>
    </row>
    <row r="47" spans="1:52">
      <c r="A47">
        <f>Grades!A47</f>
        <v>0</v>
      </c>
      <c r="B47">
        <f>Grades!B47</f>
        <v>0</v>
      </c>
      <c r="C47" s="12">
        <f>Grades!C47</f>
        <v>0</v>
      </c>
      <c r="D47" s="13">
        <f t="shared" si="1"/>
        <v>0</v>
      </c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13"/>
      <c r="V47" s="13"/>
      <c r="W47" s="13"/>
      <c r="X47" s="13"/>
      <c r="Y47" s="13"/>
      <c r="Z47" s="13"/>
      <c r="AB47" s="13">
        <f t="shared" si="2"/>
        <v>0</v>
      </c>
      <c r="AC47" s="13">
        <f t="shared" si="3"/>
        <v>0</v>
      </c>
      <c r="AD47" s="13">
        <f t="shared" si="4"/>
        <v>0</v>
      </c>
      <c r="AE47" s="13">
        <f t="shared" si="5"/>
        <v>0</v>
      </c>
      <c r="AF47" s="13">
        <f t="shared" si="6"/>
        <v>0</v>
      </c>
      <c r="AG47" s="13">
        <f t="shared" si="7"/>
        <v>0</v>
      </c>
      <c r="AH47" s="13">
        <f t="shared" si="8"/>
        <v>0</v>
      </c>
      <c r="AI47" s="13">
        <f t="shared" si="9"/>
        <v>0</v>
      </c>
      <c r="AJ47" s="13">
        <f t="shared" si="10"/>
        <v>0</v>
      </c>
      <c r="AK47" s="13">
        <f t="shared" si="11"/>
        <v>0</v>
      </c>
      <c r="AL47" s="13">
        <f t="shared" si="12"/>
        <v>0</v>
      </c>
      <c r="AM47" s="13">
        <f t="shared" si="13"/>
        <v>0</v>
      </c>
      <c r="AO47" s="14">
        <f t="shared" ref="AO47:AT100" si="17">IF(AB$9&gt;0,AB47/AB$9,0)</f>
        <v>0</v>
      </c>
      <c r="AP47" s="14">
        <f t="shared" si="16"/>
        <v>0</v>
      </c>
      <c r="AQ47" s="14">
        <f t="shared" si="16"/>
        <v>0</v>
      </c>
      <c r="AR47" s="14">
        <f t="shared" si="16"/>
        <v>0</v>
      </c>
      <c r="AS47" s="14">
        <f t="shared" si="16"/>
        <v>0</v>
      </c>
      <c r="AT47" s="14">
        <f t="shared" si="16"/>
        <v>0</v>
      </c>
      <c r="AU47" s="14">
        <f t="shared" si="16"/>
        <v>0</v>
      </c>
      <c r="AV47" s="14">
        <f t="shared" si="16"/>
        <v>0</v>
      </c>
      <c r="AW47" s="14">
        <f t="shared" si="16"/>
        <v>0</v>
      </c>
      <c r="AX47" s="14">
        <f t="shared" si="16"/>
        <v>0</v>
      </c>
      <c r="AY47" s="14">
        <f t="shared" si="16"/>
        <v>0</v>
      </c>
      <c r="AZ47" s="14">
        <f t="shared" si="16"/>
        <v>0</v>
      </c>
    </row>
    <row r="48" spans="1:52">
      <c r="A48">
        <f>Grades!A48</f>
        <v>0</v>
      </c>
      <c r="B48">
        <f>Grades!B48</f>
        <v>0</v>
      </c>
      <c r="C48" s="12">
        <f>Grades!C48</f>
        <v>0</v>
      </c>
      <c r="D48" s="13">
        <f t="shared" si="1"/>
        <v>0</v>
      </c>
      <c r="E48" s="13"/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3"/>
      <c r="X48" s="13"/>
      <c r="Y48" s="13"/>
      <c r="Z48" s="13"/>
      <c r="AB48" s="13">
        <f t="shared" si="2"/>
        <v>0</v>
      </c>
      <c r="AC48" s="13">
        <f t="shared" si="3"/>
        <v>0</v>
      </c>
      <c r="AD48" s="13">
        <f t="shared" si="4"/>
        <v>0</v>
      </c>
      <c r="AE48" s="13">
        <f t="shared" si="5"/>
        <v>0</v>
      </c>
      <c r="AF48" s="13">
        <f t="shared" si="6"/>
        <v>0</v>
      </c>
      <c r="AG48" s="13">
        <f t="shared" si="7"/>
        <v>0</v>
      </c>
      <c r="AH48" s="13">
        <f t="shared" si="8"/>
        <v>0</v>
      </c>
      <c r="AI48" s="13">
        <f t="shared" si="9"/>
        <v>0</v>
      </c>
      <c r="AJ48" s="13">
        <f t="shared" si="10"/>
        <v>0</v>
      </c>
      <c r="AK48" s="13">
        <f t="shared" si="11"/>
        <v>0</v>
      </c>
      <c r="AL48" s="13">
        <f t="shared" si="12"/>
        <v>0</v>
      </c>
      <c r="AM48" s="13">
        <f t="shared" si="13"/>
        <v>0</v>
      </c>
      <c r="AO48" s="14">
        <f t="shared" si="17"/>
        <v>0</v>
      </c>
      <c r="AP48" s="14">
        <f t="shared" si="16"/>
        <v>0</v>
      </c>
      <c r="AQ48" s="14">
        <f t="shared" si="16"/>
        <v>0</v>
      </c>
      <c r="AR48" s="14">
        <f t="shared" si="16"/>
        <v>0</v>
      </c>
      <c r="AS48" s="14">
        <f t="shared" si="16"/>
        <v>0</v>
      </c>
      <c r="AT48" s="14">
        <f t="shared" si="16"/>
        <v>0</v>
      </c>
      <c r="AU48" s="14">
        <f t="shared" si="16"/>
        <v>0</v>
      </c>
      <c r="AV48" s="14">
        <f t="shared" si="16"/>
        <v>0</v>
      </c>
      <c r="AW48" s="14">
        <f t="shared" si="16"/>
        <v>0</v>
      </c>
      <c r="AX48" s="14">
        <f t="shared" si="16"/>
        <v>0</v>
      </c>
      <c r="AY48" s="14">
        <f t="shared" si="16"/>
        <v>0</v>
      </c>
      <c r="AZ48" s="14">
        <f t="shared" si="16"/>
        <v>0</v>
      </c>
    </row>
    <row r="49" spans="1:52">
      <c r="A49">
        <f>Grades!A49</f>
        <v>0</v>
      </c>
      <c r="B49">
        <f>Grades!B49</f>
        <v>0</v>
      </c>
      <c r="C49" s="12">
        <f>Grades!C49</f>
        <v>0</v>
      </c>
      <c r="D49" s="13">
        <f t="shared" si="1"/>
        <v>0</v>
      </c>
      <c r="E49" s="13"/>
      <c r="F49" s="13"/>
      <c r="G49" s="13"/>
      <c r="H49" s="13"/>
      <c r="I49" s="13"/>
      <c r="J49" s="13"/>
      <c r="K49" s="13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3"/>
      <c r="X49" s="13"/>
      <c r="Y49" s="13"/>
      <c r="Z49" s="13"/>
      <c r="AB49" s="13">
        <f t="shared" si="2"/>
        <v>0</v>
      </c>
      <c r="AC49" s="13">
        <f t="shared" si="3"/>
        <v>0</v>
      </c>
      <c r="AD49" s="13">
        <f t="shared" si="4"/>
        <v>0</v>
      </c>
      <c r="AE49" s="13">
        <f t="shared" si="5"/>
        <v>0</v>
      </c>
      <c r="AF49" s="13">
        <f t="shared" si="6"/>
        <v>0</v>
      </c>
      <c r="AG49" s="13">
        <f t="shared" si="7"/>
        <v>0</v>
      </c>
      <c r="AH49" s="13">
        <f t="shared" si="8"/>
        <v>0</v>
      </c>
      <c r="AI49" s="13">
        <f t="shared" si="9"/>
        <v>0</v>
      </c>
      <c r="AJ49" s="13">
        <f t="shared" si="10"/>
        <v>0</v>
      </c>
      <c r="AK49" s="13">
        <f t="shared" si="11"/>
        <v>0</v>
      </c>
      <c r="AL49" s="13">
        <f t="shared" si="12"/>
        <v>0</v>
      </c>
      <c r="AM49" s="13">
        <f t="shared" si="13"/>
        <v>0</v>
      </c>
      <c r="AO49" s="14">
        <f t="shared" si="17"/>
        <v>0</v>
      </c>
      <c r="AP49" s="14">
        <f t="shared" si="16"/>
        <v>0</v>
      </c>
      <c r="AQ49" s="14">
        <f t="shared" si="16"/>
        <v>0</v>
      </c>
      <c r="AR49" s="14">
        <f t="shared" si="16"/>
        <v>0</v>
      </c>
      <c r="AS49" s="14">
        <f t="shared" si="16"/>
        <v>0</v>
      </c>
      <c r="AT49" s="14">
        <f t="shared" si="16"/>
        <v>0</v>
      </c>
      <c r="AU49" s="14">
        <f t="shared" si="16"/>
        <v>0</v>
      </c>
      <c r="AV49" s="14">
        <f t="shared" si="16"/>
        <v>0</v>
      </c>
      <c r="AW49" s="14">
        <f t="shared" si="16"/>
        <v>0</v>
      </c>
      <c r="AX49" s="14">
        <f t="shared" si="16"/>
        <v>0</v>
      </c>
      <c r="AY49" s="14">
        <f t="shared" si="16"/>
        <v>0</v>
      </c>
      <c r="AZ49" s="14">
        <f t="shared" si="16"/>
        <v>0</v>
      </c>
    </row>
    <row r="50" spans="1:52">
      <c r="A50">
        <f>Grades!A50</f>
        <v>0</v>
      </c>
      <c r="B50">
        <f>Grades!B50</f>
        <v>0</v>
      </c>
      <c r="C50" s="12">
        <f>Grades!C50</f>
        <v>0</v>
      </c>
      <c r="D50" s="13">
        <f t="shared" si="1"/>
        <v>0</v>
      </c>
      <c r="E50" s="13"/>
      <c r="F50" s="13"/>
      <c r="G50" s="13"/>
      <c r="H50" s="13"/>
      <c r="I50" s="13"/>
      <c r="J50" s="13"/>
      <c r="K50" s="13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3"/>
      <c r="X50" s="13"/>
      <c r="Y50" s="13"/>
      <c r="Z50" s="13"/>
      <c r="AB50" s="13">
        <f t="shared" si="2"/>
        <v>0</v>
      </c>
      <c r="AC50" s="13">
        <f t="shared" si="3"/>
        <v>0</v>
      </c>
      <c r="AD50" s="13">
        <f t="shared" si="4"/>
        <v>0</v>
      </c>
      <c r="AE50" s="13">
        <f t="shared" si="5"/>
        <v>0</v>
      </c>
      <c r="AF50" s="13">
        <f t="shared" si="6"/>
        <v>0</v>
      </c>
      <c r="AG50" s="13">
        <f t="shared" si="7"/>
        <v>0</v>
      </c>
      <c r="AH50" s="13">
        <f t="shared" si="8"/>
        <v>0</v>
      </c>
      <c r="AI50" s="13">
        <f t="shared" si="9"/>
        <v>0</v>
      </c>
      <c r="AJ50" s="13">
        <f t="shared" si="10"/>
        <v>0</v>
      </c>
      <c r="AK50" s="13">
        <f t="shared" si="11"/>
        <v>0</v>
      </c>
      <c r="AL50" s="13">
        <f t="shared" si="12"/>
        <v>0</v>
      </c>
      <c r="AM50" s="13">
        <f t="shared" si="13"/>
        <v>0</v>
      </c>
      <c r="AO50" s="14">
        <f t="shared" si="17"/>
        <v>0</v>
      </c>
      <c r="AP50" s="14">
        <f t="shared" si="16"/>
        <v>0</v>
      </c>
      <c r="AQ50" s="14">
        <f t="shared" si="16"/>
        <v>0</v>
      </c>
      <c r="AR50" s="14">
        <f t="shared" si="16"/>
        <v>0</v>
      </c>
      <c r="AS50" s="14">
        <f t="shared" si="16"/>
        <v>0</v>
      </c>
      <c r="AT50" s="14">
        <f t="shared" si="16"/>
        <v>0</v>
      </c>
      <c r="AU50" s="14">
        <f t="shared" si="16"/>
        <v>0</v>
      </c>
      <c r="AV50" s="14">
        <f t="shared" si="16"/>
        <v>0</v>
      </c>
      <c r="AW50" s="14">
        <f t="shared" si="16"/>
        <v>0</v>
      </c>
      <c r="AX50" s="14">
        <f t="shared" si="16"/>
        <v>0</v>
      </c>
      <c r="AY50" s="14">
        <f t="shared" si="16"/>
        <v>0</v>
      </c>
      <c r="AZ50" s="14">
        <f t="shared" si="16"/>
        <v>0</v>
      </c>
    </row>
    <row r="51" spans="1:52">
      <c r="A51">
        <f>Grades!A51</f>
        <v>0</v>
      </c>
      <c r="B51">
        <f>Grades!B51</f>
        <v>0</v>
      </c>
      <c r="C51" s="12">
        <f>Grades!C51</f>
        <v>0</v>
      </c>
      <c r="D51" s="13">
        <f t="shared" si="1"/>
        <v>0</v>
      </c>
      <c r="E51" s="13"/>
      <c r="F51" s="13"/>
      <c r="G51" s="13"/>
      <c r="H51" s="13"/>
      <c r="I51" s="13"/>
      <c r="J51" s="13"/>
      <c r="K51" s="13"/>
      <c r="L51" s="13"/>
      <c r="M51" s="13"/>
      <c r="N51" s="13"/>
      <c r="O51" s="13"/>
      <c r="P51" s="13"/>
      <c r="Q51" s="13"/>
      <c r="R51" s="13"/>
      <c r="S51" s="13"/>
      <c r="T51" s="13"/>
      <c r="U51" s="13"/>
      <c r="V51" s="13"/>
      <c r="W51" s="13"/>
      <c r="X51" s="13"/>
      <c r="Y51" s="13"/>
      <c r="Z51" s="13"/>
      <c r="AB51" s="13">
        <f t="shared" si="2"/>
        <v>0</v>
      </c>
      <c r="AC51" s="13">
        <f t="shared" si="3"/>
        <v>0</v>
      </c>
      <c r="AD51" s="13">
        <f t="shared" si="4"/>
        <v>0</v>
      </c>
      <c r="AE51" s="13">
        <f t="shared" si="5"/>
        <v>0</v>
      </c>
      <c r="AF51" s="13">
        <f t="shared" si="6"/>
        <v>0</v>
      </c>
      <c r="AG51" s="13">
        <f t="shared" si="7"/>
        <v>0</v>
      </c>
      <c r="AH51" s="13">
        <f t="shared" si="8"/>
        <v>0</v>
      </c>
      <c r="AI51" s="13">
        <f t="shared" si="9"/>
        <v>0</v>
      </c>
      <c r="AJ51" s="13">
        <f t="shared" si="10"/>
        <v>0</v>
      </c>
      <c r="AK51" s="13">
        <f t="shared" si="11"/>
        <v>0</v>
      </c>
      <c r="AL51" s="13">
        <f t="shared" si="12"/>
        <v>0</v>
      </c>
      <c r="AM51" s="13">
        <f t="shared" si="13"/>
        <v>0</v>
      </c>
      <c r="AO51" s="14">
        <f t="shared" si="17"/>
        <v>0</v>
      </c>
      <c r="AP51" s="14">
        <f t="shared" si="16"/>
        <v>0</v>
      </c>
      <c r="AQ51" s="14">
        <f t="shared" si="16"/>
        <v>0</v>
      </c>
      <c r="AR51" s="14">
        <f t="shared" si="16"/>
        <v>0</v>
      </c>
      <c r="AS51" s="14">
        <f t="shared" si="16"/>
        <v>0</v>
      </c>
      <c r="AT51" s="14">
        <f t="shared" si="16"/>
        <v>0</v>
      </c>
      <c r="AU51" s="14">
        <f t="shared" si="16"/>
        <v>0</v>
      </c>
      <c r="AV51" s="14">
        <f t="shared" si="16"/>
        <v>0</v>
      </c>
      <c r="AW51" s="14">
        <f t="shared" si="16"/>
        <v>0</v>
      </c>
      <c r="AX51" s="14">
        <f t="shared" si="16"/>
        <v>0</v>
      </c>
      <c r="AY51" s="14">
        <f t="shared" si="16"/>
        <v>0</v>
      </c>
      <c r="AZ51" s="14">
        <f t="shared" si="16"/>
        <v>0</v>
      </c>
    </row>
    <row r="52" spans="1:52">
      <c r="A52">
        <f>Grades!A52</f>
        <v>0</v>
      </c>
      <c r="B52">
        <f>Grades!B52</f>
        <v>0</v>
      </c>
      <c r="C52" s="12">
        <f>Grades!C52</f>
        <v>0</v>
      </c>
      <c r="D52" s="13">
        <f t="shared" si="1"/>
        <v>0</v>
      </c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3"/>
      <c r="X52" s="13"/>
      <c r="Y52" s="13"/>
      <c r="Z52" s="13"/>
      <c r="AB52" s="13">
        <f t="shared" si="2"/>
        <v>0</v>
      </c>
      <c r="AC52" s="13">
        <f t="shared" si="3"/>
        <v>0</v>
      </c>
      <c r="AD52" s="13">
        <f t="shared" si="4"/>
        <v>0</v>
      </c>
      <c r="AE52" s="13">
        <f t="shared" si="5"/>
        <v>0</v>
      </c>
      <c r="AF52" s="13">
        <f t="shared" si="6"/>
        <v>0</v>
      </c>
      <c r="AG52" s="13">
        <f t="shared" si="7"/>
        <v>0</v>
      </c>
      <c r="AH52" s="13">
        <f t="shared" si="8"/>
        <v>0</v>
      </c>
      <c r="AI52" s="13">
        <f t="shared" si="9"/>
        <v>0</v>
      </c>
      <c r="AJ52" s="13">
        <f t="shared" si="10"/>
        <v>0</v>
      </c>
      <c r="AK52" s="13">
        <f t="shared" si="11"/>
        <v>0</v>
      </c>
      <c r="AL52" s="13">
        <f t="shared" si="12"/>
        <v>0</v>
      </c>
      <c r="AM52" s="13">
        <f t="shared" si="13"/>
        <v>0</v>
      </c>
      <c r="AO52" s="14">
        <f t="shared" si="17"/>
        <v>0</v>
      </c>
      <c r="AP52" s="14">
        <f t="shared" si="16"/>
        <v>0</v>
      </c>
      <c r="AQ52" s="14">
        <f t="shared" si="16"/>
        <v>0</v>
      </c>
      <c r="AR52" s="14">
        <f t="shared" si="16"/>
        <v>0</v>
      </c>
      <c r="AS52" s="14">
        <f t="shared" si="16"/>
        <v>0</v>
      </c>
      <c r="AT52" s="14">
        <f t="shared" si="16"/>
        <v>0</v>
      </c>
      <c r="AU52" s="14">
        <f t="shared" si="16"/>
        <v>0</v>
      </c>
      <c r="AV52" s="14">
        <f t="shared" si="16"/>
        <v>0</v>
      </c>
      <c r="AW52" s="14">
        <f t="shared" si="16"/>
        <v>0</v>
      </c>
      <c r="AX52" s="14">
        <f t="shared" si="16"/>
        <v>0</v>
      </c>
      <c r="AY52" s="14">
        <f t="shared" si="16"/>
        <v>0</v>
      </c>
      <c r="AZ52" s="14">
        <f t="shared" si="16"/>
        <v>0</v>
      </c>
    </row>
    <row r="53" spans="1:52">
      <c r="A53">
        <f>Grades!A53</f>
        <v>0</v>
      </c>
      <c r="B53">
        <f>Grades!B53</f>
        <v>0</v>
      </c>
      <c r="C53" s="12">
        <f>Grades!C53</f>
        <v>0</v>
      </c>
      <c r="D53" s="13">
        <f t="shared" si="1"/>
        <v>0</v>
      </c>
      <c r="E53" s="13"/>
      <c r="F53" s="13"/>
      <c r="G53" s="13"/>
      <c r="H53" s="13"/>
      <c r="I53" s="13"/>
      <c r="J53" s="13"/>
      <c r="K53" s="13"/>
      <c r="L53" s="13"/>
      <c r="M53" s="13"/>
      <c r="N53" s="13"/>
      <c r="O53" s="13"/>
      <c r="P53" s="13"/>
      <c r="Q53" s="13"/>
      <c r="R53" s="13"/>
      <c r="S53" s="13"/>
      <c r="T53" s="13"/>
      <c r="U53" s="13"/>
      <c r="V53" s="13"/>
      <c r="W53" s="13"/>
      <c r="X53" s="13"/>
      <c r="Y53" s="13"/>
      <c r="Z53" s="13"/>
      <c r="AB53" s="13">
        <f t="shared" si="2"/>
        <v>0</v>
      </c>
      <c r="AC53" s="13">
        <f t="shared" si="3"/>
        <v>0</v>
      </c>
      <c r="AD53" s="13">
        <f t="shared" si="4"/>
        <v>0</v>
      </c>
      <c r="AE53" s="13">
        <f t="shared" si="5"/>
        <v>0</v>
      </c>
      <c r="AF53" s="13">
        <f t="shared" si="6"/>
        <v>0</v>
      </c>
      <c r="AG53" s="13">
        <f t="shared" si="7"/>
        <v>0</v>
      </c>
      <c r="AH53" s="13">
        <f t="shared" si="8"/>
        <v>0</v>
      </c>
      <c r="AI53" s="13">
        <f t="shared" si="9"/>
        <v>0</v>
      </c>
      <c r="AJ53" s="13">
        <f t="shared" si="10"/>
        <v>0</v>
      </c>
      <c r="AK53" s="13">
        <f t="shared" si="11"/>
        <v>0</v>
      </c>
      <c r="AL53" s="13">
        <f t="shared" si="12"/>
        <v>0</v>
      </c>
      <c r="AM53" s="13">
        <f t="shared" si="13"/>
        <v>0</v>
      </c>
      <c r="AO53" s="14">
        <f t="shared" si="17"/>
        <v>0</v>
      </c>
      <c r="AP53" s="14">
        <f t="shared" si="16"/>
        <v>0</v>
      </c>
      <c r="AQ53" s="14">
        <f t="shared" si="16"/>
        <v>0</v>
      </c>
      <c r="AR53" s="14">
        <f t="shared" si="16"/>
        <v>0</v>
      </c>
      <c r="AS53" s="14">
        <f t="shared" si="16"/>
        <v>0</v>
      </c>
      <c r="AT53" s="14">
        <f t="shared" si="16"/>
        <v>0</v>
      </c>
      <c r="AU53" s="14">
        <f t="shared" si="16"/>
        <v>0</v>
      </c>
      <c r="AV53" s="14">
        <f t="shared" si="16"/>
        <v>0</v>
      </c>
      <c r="AW53" s="14">
        <f t="shared" si="16"/>
        <v>0</v>
      </c>
      <c r="AX53" s="14">
        <f t="shared" si="16"/>
        <v>0</v>
      </c>
      <c r="AY53" s="14">
        <f t="shared" si="16"/>
        <v>0</v>
      </c>
      <c r="AZ53" s="14">
        <f t="shared" si="16"/>
        <v>0</v>
      </c>
    </row>
    <row r="54" spans="1:52">
      <c r="A54">
        <f>Grades!A54</f>
        <v>0</v>
      </c>
      <c r="B54">
        <f>Grades!B54</f>
        <v>0</v>
      </c>
      <c r="C54" s="12">
        <f>Grades!C54</f>
        <v>0</v>
      </c>
      <c r="D54" s="13">
        <f t="shared" si="1"/>
        <v>0</v>
      </c>
      <c r="E54" s="13"/>
      <c r="F54" s="13"/>
      <c r="G54" s="13"/>
      <c r="H54" s="13"/>
      <c r="I54" s="13"/>
      <c r="J54" s="13"/>
      <c r="K54" s="13"/>
      <c r="L54" s="13"/>
      <c r="M54" s="13"/>
      <c r="N54" s="13"/>
      <c r="O54" s="13"/>
      <c r="P54" s="13"/>
      <c r="Q54" s="13"/>
      <c r="R54" s="13"/>
      <c r="S54" s="13"/>
      <c r="T54" s="13"/>
      <c r="U54" s="13"/>
      <c r="V54" s="13"/>
      <c r="W54" s="13"/>
      <c r="X54" s="13"/>
      <c r="Y54" s="13"/>
      <c r="Z54" s="13"/>
      <c r="AB54" s="13">
        <f t="shared" si="2"/>
        <v>0</v>
      </c>
      <c r="AC54" s="13">
        <f t="shared" si="3"/>
        <v>0</v>
      </c>
      <c r="AD54" s="13">
        <f t="shared" si="4"/>
        <v>0</v>
      </c>
      <c r="AE54" s="13">
        <f t="shared" si="5"/>
        <v>0</v>
      </c>
      <c r="AF54" s="13">
        <f t="shared" si="6"/>
        <v>0</v>
      </c>
      <c r="AG54" s="13">
        <f t="shared" si="7"/>
        <v>0</v>
      </c>
      <c r="AH54" s="13">
        <f t="shared" si="8"/>
        <v>0</v>
      </c>
      <c r="AI54" s="13">
        <f t="shared" si="9"/>
        <v>0</v>
      </c>
      <c r="AJ54" s="13">
        <f t="shared" si="10"/>
        <v>0</v>
      </c>
      <c r="AK54" s="13">
        <f t="shared" si="11"/>
        <v>0</v>
      </c>
      <c r="AL54" s="13">
        <f t="shared" si="12"/>
        <v>0</v>
      </c>
      <c r="AM54" s="13">
        <f t="shared" si="13"/>
        <v>0</v>
      </c>
      <c r="AO54" s="14">
        <f t="shared" si="17"/>
        <v>0</v>
      </c>
      <c r="AP54" s="14">
        <f t="shared" si="16"/>
        <v>0</v>
      </c>
      <c r="AQ54" s="14">
        <f t="shared" si="16"/>
        <v>0</v>
      </c>
      <c r="AR54" s="14">
        <f t="shared" si="16"/>
        <v>0</v>
      </c>
      <c r="AS54" s="14">
        <f t="shared" si="16"/>
        <v>0</v>
      </c>
      <c r="AT54" s="14">
        <f t="shared" si="16"/>
        <v>0</v>
      </c>
      <c r="AU54" s="14">
        <f t="shared" si="16"/>
        <v>0</v>
      </c>
      <c r="AV54" s="14">
        <f t="shared" si="16"/>
        <v>0</v>
      </c>
      <c r="AW54" s="14">
        <f t="shared" si="16"/>
        <v>0</v>
      </c>
      <c r="AX54" s="14">
        <f t="shared" si="16"/>
        <v>0</v>
      </c>
      <c r="AY54" s="14">
        <f t="shared" si="16"/>
        <v>0</v>
      </c>
      <c r="AZ54" s="14">
        <f t="shared" si="16"/>
        <v>0</v>
      </c>
    </row>
    <row r="55" spans="1:52">
      <c r="A55">
        <f>Grades!A55</f>
        <v>0</v>
      </c>
      <c r="B55">
        <f>Grades!B55</f>
        <v>0</v>
      </c>
      <c r="C55" s="12">
        <f>Grades!C55</f>
        <v>0</v>
      </c>
      <c r="D55" s="13">
        <f t="shared" si="1"/>
        <v>0</v>
      </c>
      <c r="E55" s="13"/>
      <c r="F55" s="13"/>
      <c r="G55" s="13"/>
      <c r="H55" s="13"/>
      <c r="I55" s="13"/>
      <c r="J55" s="13"/>
      <c r="K55" s="13"/>
      <c r="L55" s="13"/>
      <c r="M55" s="13"/>
      <c r="N55" s="13"/>
      <c r="O55" s="13"/>
      <c r="P55" s="13"/>
      <c r="Q55" s="13"/>
      <c r="R55" s="13"/>
      <c r="S55" s="13"/>
      <c r="T55" s="13"/>
      <c r="U55" s="13"/>
      <c r="V55" s="13"/>
      <c r="W55" s="13"/>
      <c r="X55" s="13"/>
      <c r="Y55" s="13"/>
      <c r="Z55" s="13"/>
      <c r="AB55" s="13">
        <f t="shared" si="2"/>
        <v>0</v>
      </c>
      <c r="AC55" s="13">
        <f t="shared" si="3"/>
        <v>0</v>
      </c>
      <c r="AD55" s="13">
        <f t="shared" si="4"/>
        <v>0</v>
      </c>
      <c r="AE55" s="13">
        <f t="shared" si="5"/>
        <v>0</v>
      </c>
      <c r="AF55" s="13">
        <f t="shared" si="6"/>
        <v>0</v>
      </c>
      <c r="AG55" s="13">
        <f t="shared" si="7"/>
        <v>0</v>
      </c>
      <c r="AH55" s="13">
        <f t="shared" si="8"/>
        <v>0</v>
      </c>
      <c r="AI55" s="13">
        <f t="shared" si="9"/>
        <v>0</v>
      </c>
      <c r="AJ55" s="13">
        <f t="shared" si="10"/>
        <v>0</v>
      </c>
      <c r="AK55" s="13">
        <f t="shared" si="11"/>
        <v>0</v>
      </c>
      <c r="AL55" s="13">
        <f t="shared" si="12"/>
        <v>0</v>
      </c>
      <c r="AM55" s="13">
        <f t="shared" si="13"/>
        <v>0</v>
      </c>
      <c r="AO55" s="14">
        <f t="shared" si="17"/>
        <v>0</v>
      </c>
      <c r="AP55" s="14">
        <f t="shared" si="16"/>
        <v>0</v>
      </c>
      <c r="AQ55" s="14">
        <f t="shared" si="16"/>
        <v>0</v>
      </c>
      <c r="AR55" s="14">
        <f t="shared" si="16"/>
        <v>0</v>
      </c>
      <c r="AS55" s="14">
        <f t="shared" si="16"/>
        <v>0</v>
      </c>
      <c r="AT55" s="14">
        <f t="shared" si="16"/>
        <v>0</v>
      </c>
      <c r="AU55" s="14">
        <f t="shared" si="16"/>
        <v>0</v>
      </c>
      <c r="AV55" s="14">
        <f t="shared" si="16"/>
        <v>0</v>
      </c>
      <c r="AW55" s="14">
        <f t="shared" si="16"/>
        <v>0</v>
      </c>
      <c r="AX55" s="14">
        <f t="shared" si="16"/>
        <v>0</v>
      </c>
      <c r="AY55" s="14">
        <f t="shared" si="16"/>
        <v>0</v>
      </c>
      <c r="AZ55" s="14">
        <f t="shared" si="16"/>
        <v>0</v>
      </c>
    </row>
    <row r="56" spans="1:52">
      <c r="A56">
        <f>Grades!A56</f>
        <v>0</v>
      </c>
      <c r="B56">
        <f>Grades!B56</f>
        <v>0</v>
      </c>
      <c r="C56" s="12">
        <f>Grades!C56</f>
        <v>0</v>
      </c>
      <c r="D56" s="13">
        <f t="shared" si="1"/>
        <v>0</v>
      </c>
      <c r="E56" s="13"/>
      <c r="F56" s="13"/>
      <c r="G56" s="13"/>
      <c r="H56" s="13"/>
      <c r="I56" s="13"/>
      <c r="J56" s="13"/>
      <c r="K56" s="13"/>
      <c r="L56" s="13"/>
      <c r="M56" s="13"/>
      <c r="N56" s="13"/>
      <c r="O56" s="13"/>
      <c r="P56" s="13"/>
      <c r="Q56" s="13"/>
      <c r="R56" s="13"/>
      <c r="S56" s="13"/>
      <c r="T56" s="13"/>
      <c r="U56" s="13"/>
      <c r="V56" s="13"/>
      <c r="W56" s="13"/>
      <c r="X56" s="13"/>
      <c r="Y56" s="13"/>
      <c r="Z56" s="13"/>
      <c r="AB56" s="13">
        <f t="shared" si="2"/>
        <v>0</v>
      </c>
      <c r="AC56" s="13">
        <f t="shared" si="3"/>
        <v>0</v>
      </c>
      <c r="AD56" s="13">
        <f t="shared" si="4"/>
        <v>0</v>
      </c>
      <c r="AE56" s="13">
        <f t="shared" si="5"/>
        <v>0</v>
      </c>
      <c r="AF56" s="13">
        <f t="shared" si="6"/>
        <v>0</v>
      </c>
      <c r="AG56" s="13">
        <f t="shared" si="7"/>
        <v>0</v>
      </c>
      <c r="AH56" s="13">
        <f t="shared" si="8"/>
        <v>0</v>
      </c>
      <c r="AI56" s="13">
        <f t="shared" si="9"/>
        <v>0</v>
      </c>
      <c r="AJ56" s="13">
        <f t="shared" si="10"/>
        <v>0</v>
      </c>
      <c r="AK56" s="13">
        <f t="shared" si="11"/>
        <v>0</v>
      </c>
      <c r="AL56" s="13">
        <f t="shared" si="12"/>
        <v>0</v>
      </c>
      <c r="AM56" s="13">
        <f t="shared" si="13"/>
        <v>0</v>
      </c>
      <c r="AO56" s="14">
        <f t="shared" si="17"/>
        <v>0</v>
      </c>
      <c r="AP56" s="14">
        <f t="shared" si="16"/>
        <v>0</v>
      </c>
      <c r="AQ56" s="14">
        <f t="shared" si="16"/>
        <v>0</v>
      </c>
      <c r="AR56" s="14">
        <f t="shared" si="16"/>
        <v>0</v>
      </c>
      <c r="AS56" s="14">
        <f t="shared" si="16"/>
        <v>0</v>
      </c>
      <c r="AT56" s="14">
        <f t="shared" si="16"/>
        <v>0</v>
      </c>
      <c r="AU56" s="14">
        <f t="shared" si="16"/>
        <v>0</v>
      </c>
      <c r="AV56" s="14">
        <f t="shared" si="16"/>
        <v>0</v>
      </c>
      <c r="AW56" s="14">
        <f t="shared" si="16"/>
        <v>0</v>
      </c>
      <c r="AX56" s="14">
        <f t="shared" si="16"/>
        <v>0</v>
      </c>
      <c r="AY56" s="14">
        <f t="shared" si="16"/>
        <v>0</v>
      </c>
      <c r="AZ56" s="14">
        <f t="shared" si="16"/>
        <v>0</v>
      </c>
    </row>
    <row r="57" spans="1:52">
      <c r="A57">
        <f>Grades!A57</f>
        <v>0</v>
      </c>
      <c r="B57">
        <f>Grades!B57</f>
        <v>0</v>
      </c>
      <c r="C57" s="12">
        <f>Grades!C57</f>
        <v>0</v>
      </c>
      <c r="D57" s="13">
        <f t="shared" si="1"/>
        <v>0</v>
      </c>
      <c r="E57" s="13"/>
      <c r="F57" s="13"/>
      <c r="G57" s="13"/>
      <c r="H57" s="13"/>
      <c r="I57" s="13"/>
      <c r="J57" s="13"/>
      <c r="K57" s="13"/>
      <c r="L57" s="13"/>
      <c r="M57" s="13"/>
      <c r="N57" s="13"/>
      <c r="O57" s="13"/>
      <c r="P57" s="13"/>
      <c r="Q57" s="13"/>
      <c r="R57" s="13"/>
      <c r="S57" s="13"/>
      <c r="T57" s="13"/>
      <c r="U57" s="13"/>
      <c r="V57" s="13"/>
      <c r="W57" s="13"/>
      <c r="X57" s="13"/>
      <c r="Y57" s="13"/>
      <c r="Z57" s="13"/>
      <c r="AB57" s="13">
        <f t="shared" si="2"/>
        <v>0</v>
      </c>
      <c r="AC57" s="13">
        <f t="shared" si="3"/>
        <v>0</v>
      </c>
      <c r="AD57" s="13">
        <f t="shared" si="4"/>
        <v>0</v>
      </c>
      <c r="AE57" s="13">
        <f t="shared" si="5"/>
        <v>0</v>
      </c>
      <c r="AF57" s="13">
        <f t="shared" si="6"/>
        <v>0</v>
      </c>
      <c r="AG57" s="13">
        <f t="shared" si="7"/>
        <v>0</v>
      </c>
      <c r="AH57" s="13">
        <f t="shared" si="8"/>
        <v>0</v>
      </c>
      <c r="AI57" s="13">
        <f t="shared" si="9"/>
        <v>0</v>
      </c>
      <c r="AJ57" s="13">
        <f t="shared" si="10"/>
        <v>0</v>
      </c>
      <c r="AK57" s="13">
        <f t="shared" si="11"/>
        <v>0</v>
      </c>
      <c r="AL57" s="13">
        <f t="shared" si="12"/>
        <v>0</v>
      </c>
      <c r="AM57" s="13">
        <f t="shared" si="13"/>
        <v>0</v>
      </c>
      <c r="AO57" s="14">
        <f t="shared" si="17"/>
        <v>0</v>
      </c>
      <c r="AP57" s="14">
        <f t="shared" si="16"/>
        <v>0</v>
      </c>
      <c r="AQ57" s="14">
        <f t="shared" si="16"/>
        <v>0</v>
      </c>
      <c r="AR57" s="14">
        <f t="shared" si="16"/>
        <v>0</v>
      </c>
      <c r="AS57" s="14">
        <f t="shared" si="16"/>
        <v>0</v>
      </c>
      <c r="AT57" s="14">
        <f t="shared" si="16"/>
        <v>0</v>
      </c>
      <c r="AU57" s="14">
        <f t="shared" si="16"/>
        <v>0</v>
      </c>
      <c r="AV57" s="14">
        <f t="shared" si="16"/>
        <v>0</v>
      </c>
      <c r="AW57" s="14">
        <f t="shared" si="16"/>
        <v>0</v>
      </c>
      <c r="AX57" s="14">
        <f t="shared" si="16"/>
        <v>0</v>
      </c>
      <c r="AY57" s="14">
        <f t="shared" si="16"/>
        <v>0</v>
      </c>
      <c r="AZ57" s="14">
        <f t="shared" si="16"/>
        <v>0</v>
      </c>
    </row>
    <row r="58" spans="1:52">
      <c r="A58">
        <f>Grades!A58</f>
        <v>0</v>
      </c>
      <c r="B58">
        <f>Grades!B58</f>
        <v>0</v>
      </c>
      <c r="C58" s="12">
        <f>Grades!C58</f>
        <v>0</v>
      </c>
      <c r="D58" s="13">
        <f t="shared" si="1"/>
        <v>0</v>
      </c>
      <c r="E58" s="13"/>
      <c r="F58" s="13"/>
      <c r="G58" s="13"/>
      <c r="H58" s="13"/>
      <c r="I58" s="13"/>
      <c r="J58" s="13"/>
      <c r="K58" s="13"/>
      <c r="L58" s="13"/>
      <c r="M58" s="13"/>
      <c r="N58" s="13"/>
      <c r="O58" s="13"/>
      <c r="P58" s="13"/>
      <c r="Q58" s="13"/>
      <c r="R58" s="13"/>
      <c r="S58" s="13"/>
      <c r="T58" s="13"/>
      <c r="U58" s="13"/>
      <c r="V58" s="13"/>
      <c r="W58" s="13"/>
      <c r="X58" s="13"/>
      <c r="Y58" s="13"/>
      <c r="Z58" s="13"/>
      <c r="AB58" s="13">
        <f t="shared" si="2"/>
        <v>0</v>
      </c>
      <c r="AC58" s="13">
        <f t="shared" si="3"/>
        <v>0</v>
      </c>
      <c r="AD58" s="13">
        <f t="shared" si="4"/>
        <v>0</v>
      </c>
      <c r="AE58" s="13">
        <f t="shared" si="5"/>
        <v>0</v>
      </c>
      <c r="AF58" s="13">
        <f t="shared" si="6"/>
        <v>0</v>
      </c>
      <c r="AG58" s="13">
        <f t="shared" si="7"/>
        <v>0</v>
      </c>
      <c r="AH58" s="13">
        <f t="shared" si="8"/>
        <v>0</v>
      </c>
      <c r="AI58" s="13">
        <f t="shared" si="9"/>
        <v>0</v>
      </c>
      <c r="AJ58" s="13">
        <f t="shared" si="10"/>
        <v>0</v>
      </c>
      <c r="AK58" s="13">
        <f t="shared" si="11"/>
        <v>0</v>
      </c>
      <c r="AL58" s="13">
        <f t="shared" si="12"/>
        <v>0</v>
      </c>
      <c r="AM58" s="13">
        <f t="shared" si="13"/>
        <v>0</v>
      </c>
      <c r="AO58" s="14">
        <f t="shared" si="17"/>
        <v>0</v>
      </c>
      <c r="AP58" s="14">
        <f t="shared" si="16"/>
        <v>0</v>
      </c>
      <c r="AQ58" s="14">
        <f t="shared" si="16"/>
        <v>0</v>
      </c>
      <c r="AR58" s="14">
        <f t="shared" si="16"/>
        <v>0</v>
      </c>
      <c r="AS58" s="14">
        <f t="shared" si="16"/>
        <v>0</v>
      </c>
      <c r="AT58" s="14">
        <f t="shared" si="16"/>
        <v>0</v>
      </c>
      <c r="AU58" s="14">
        <f t="shared" si="16"/>
        <v>0</v>
      </c>
      <c r="AV58" s="14">
        <f t="shared" si="16"/>
        <v>0</v>
      </c>
      <c r="AW58" s="14">
        <f t="shared" si="16"/>
        <v>0</v>
      </c>
      <c r="AX58" s="14">
        <f t="shared" si="16"/>
        <v>0</v>
      </c>
      <c r="AY58" s="14">
        <f t="shared" si="16"/>
        <v>0</v>
      </c>
      <c r="AZ58" s="14">
        <f t="shared" si="16"/>
        <v>0</v>
      </c>
    </row>
    <row r="59" spans="1:52">
      <c r="A59">
        <f>Grades!A59</f>
        <v>0</v>
      </c>
      <c r="B59">
        <f>Grades!B59</f>
        <v>0</v>
      </c>
      <c r="C59" s="12">
        <f>Grades!C59</f>
        <v>0</v>
      </c>
      <c r="D59" s="13">
        <f t="shared" si="1"/>
        <v>0</v>
      </c>
      <c r="E59" s="13"/>
      <c r="F59" s="13"/>
      <c r="G59" s="13"/>
      <c r="H59" s="13"/>
      <c r="I59" s="13"/>
      <c r="J59" s="13"/>
      <c r="K59" s="13"/>
      <c r="L59" s="13"/>
      <c r="M59" s="13"/>
      <c r="N59" s="13"/>
      <c r="O59" s="13"/>
      <c r="P59" s="13"/>
      <c r="Q59" s="13"/>
      <c r="R59" s="13"/>
      <c r="S59" s="13"/>
      <c r="T59" s="13"/>
      <c r="U59" s="13"/>
      <c r="V59" s="13"/>
      <c r="W59" s="13"/>
      <c r="X59" s="13"/>
      <c r="Y59" s="13"/>
      <c r="Z59" s="13"/>
      <c r="AB59" s="13">
        <f t="shared" si="2"/>
        <v>0</v>
      </c>
      <c r="AC59" s="13">
        <f t="shared" si="3"/>
        <v>0</v>
      </c>
      <c r="AD59" s="13">
        <f t="shared" si="4"/>
        <v>0</v>
      </c>
      <c r="AE59" s="13">
        <f t="shared" si="5"/>
        <v>0</v>
      </c>
      <c r="AF59" s="13">
        <f t="shared" si="6"/>
        <v>0</v>
      </c>
      <c r="AG59" s="13">
        <f t="shared" si="7"/>
        <v>0</v>
      </c>
      <c r="AH59" s="13">
        <f t="shared" si="8"/>
        <v>0</v>
      </c>
      <c r="AI59" s="13">
        <f t="shared" si="9"/>
        <v>0</v>
      </c>
      <c r="AJ59" s="13">
        <f t="shared" si="10"/>
        <v>0</v>
      </c>
      <c r="AK59" s="13">
        <f t="shared" si="11"/>
        <v>0</v>
      </c>
      <c r="AL59" s="13">
        <f t="shared" si="12"/>
        <v>0</v>
      </c>
      <c r="AM59" s="13">
        <f t="shared" si="13"/>
        <v>0</v>
      </c>
      <c r="AO59" s="14">
        <f t="shared" si="17"/>
        <v>0</v>
      </c>
      <c r="AP59" s="14">
        <f t="shared" si="16"/>
        <v>0</v>
      </c>
      <c r="AQ59" s="14">
        <f t="shared" si="16"/>
        <v>0</v>
      </c>
      <c r="AR59" s="14">
        <f t="shared" si="16"/>
        <v>0</v>
      </c>
      <c r="AS59" s="14">
        <f t="shared" si="16"/>
        <v>0</v>
      </c>
      <c r="AT59" s="14">
        <f t="shared" si="16"/>
        <v>0</v>
      </c>
      <c r="AU59" s="14">
        <f t="shared" si="16"/>
        <v>0</v>
      </c>
      <c r="AV59" s="14">
        <f t="shared" si="16"/>
        <v>0</v>
      </c>
      <c r="AW59" s="14">
        <f t="shared" si="16"/>
        <v>0</v>
      </c>
      <c r="AX59" s="14">
        <f t="shared" si="16"/>
        <v>0</v>
      </c>
      <c r="AY59" s="14">
        <f t="shared" si="16"/>
        <v>0</v>
      </c>
      <c r="AZ59" s="14">
        <f t="shared" si="16"/>
        <v>0</v>
      </c>
    </row>
    <row r="60" spans="1:52">
      <c r="A60">
        <f>Grades!A60</f>
        <v>0</v>
      </c>
      <c r="B60">
        <f>Grades!B60</f>
        <v>0</v>
      </c>
      <c r="C60" s="12">
        <f>Grades!C60</f>
        <v>0</v>
      </c>
      <c r="D60" s="13">
        <f t="shared" si="1"/>
        <v>0</v>
      </c>
      <c r="E60" s="13"/>
      <c r="F60" s="13"/>
      <c r="G60" s="13"/>
      <c r="H60" s="13"/>
      <c r="I60" s="13"/>
      <c r="J60" s="13"/>
      <c r="K60" s="13"/>
      <c r="L60" s="13"/>
      <c r="M60" s="13"/>
      <c r="N60" s="13"/>
      <c r="O60" s="13"/>
      <c r="P60" s="13"/>
      <c r="Q60" s="13"/>
      <c r="R60" s="13"/>
      <c r="S60" s="13"/>
      <c r="T60" s="13"/>
      <c r="U60" s="13"/>
      <c r="V60" s="13"/>
      <c r="W60" s="13"/>
      <c r="X60" s="13"/>
      <c r="Y60" s="13"/>
      <c r="Z60" s="13"/>
      <c r="AB60" s="13">
        <f t="shared" si="2"/>
        <v>0</v>
      </c>
      <c r="AC60" s="13">
        <f t="shared" si="3"/>
        <v>0</v>
      </c>
      <c r="AD60" s="13">
        <f t="shared" si="4"/>
        <v>0</v>
      </c>
      <c r="AE60" s="13">
        <f t="shared" si="5"/>
        <v>0</v>
      </c>
      <c r="AF60" s="13">
        <f t="shared" si="6"/>
        <v>0</v>
      </c>
      <c r="AG60" s="13">
        <f t="shared" si="7"/>
        <v>0</v>
      </c>
      <c r="AH60" s="13">
        <f t="shared" si="8"/>
        <v>0</v>
      </c>
      <c r="AI60" s="13">
        <f t="shared" si="9"/>
        <v>0</v>
      </c>
      <c r="AJ60" s="13">
        <f t="shared" si="10"/>
        <v>0</v>
      </c>
      <c r="AK60" s="13">
        <f t="shared" si="11"/>
        <v>0</v>
      </c>
      <c r="AL60" s="13">
        <f t="shared" si="12"/>
        <v>0</v>
      </c>
      <c r="AM60" s="13">
        <f t="shared" si="13"/>
        <v>0</v>
      </c>
      <c r="AO60" s="14">
        <f t="shared" si="17"/>
        <v>0</v>
      </c>
      <c r="AP60" s="14">
        <f t="shared" si="16"/>
        <v>0</v>
      </c>
      <c r="AQ60" s="14">
        <f t="shared" si="16"/>
        <v>0</v>
      </c>
      <c r="AR60" s="14">
        <f t="shared" si="16"/>
        <v>0</v>
      </c>
      <c r="AS60" s="14">
        <f t="shared" si="16"/>
        <v>0</v>
      </c>
      <c r="AT60" s="14">
        <f t="shared" si="16"/>
        <v>0</v>
      </c>
      <c r="AU60" s="14">
        <f t="shared" si="16"/>
        <v>0</v>
      </c>
      <c r="AV60" s="14">
        <f t="shared" si="16"/>
        <v>0</v>
      </c>
      <c r="AW60" s="14">
        <f t="shared" si="16"/>
        <v>0</v>
      </c>
      <c r="AX60" s="14">
        <f t="shared" si="16"/>
        <v>0</v>
      </c>
      <c r="AY60" s="14">
        <f t="shared" si="16"/>
        <v>0</v>
      </c>
      <c r="AZ60" s="14">
        <f t="shared" si="16"/>
        <v>0</v>
      </c>
    </row>
    <row r="61" spans="1:52">
      <c r="A61">
        <f>Grades!A61</f>
        <v>0</v>
      </c>
      <c r="B61">
        <f>Grades!B61</f>
        <v>0</v>
      </c>
      <c r="C61" s="12">
        <f>Grades!C61</f>
        <v>0</v>
      </c>
      <c r="D61" s="13">
        <f t="shared" si="1"/>
        <v>0</v>
      </c>
      <c r="E61" s="13"/>
      <c r="F61" s="13"/>
      <c r="G61" s="13"/>
      <c r="H61" s="13"/>
      <c r="I61" s="13"/>
      <c r="J61" s="13"/>
      <c r="K61" s="13"/>
      <c r="L61" s="13"/>
      <c r="M61" s="13"/>
      <c r="N61" s="13"/>
      <c r="O61" s="13"/>
      <c r="P61" s="13"/>
      <c r="Q61" s="13"/>
      <c r="R61" s="13"/>
      <c r="S61" s="13"/>
      <c r="T61" s="13"/>
      <c r="U61" s="13"/>
      <c r="V61" s="13"/>
      <c r="W61" s="13"/>
      <c r="X61" s="13"/>
      <c r="Y61" s="13"/>
      <c r="Z61" s="13"/>
      <c r="AB61" s="13">
        <f t="shared" si="2"/>
        <v>0</v>
      </c>
      <c r="AC61" s="13">
        <f t="shared" si="3"/>
        <v>0</v>
      </c>
      <c r="AD61" s="13">
        <f t="shared" si="4"/>
        <v>0</v>
      </c>
      <c r="AE61" s="13">
        <f t="shared" si="5"/>
        <v>0</v>
      </c>
      <c r="AF61" s="13">
        <f t="shared" si="6"/>
        <v>0</v>
      </c>
      <c r="AG61" s="13">
        <f t="shared" si="7"/>
        <v>0</v>
      </c>
      <c r="AH61" s="13">
        <f t="shared" si="8"/>
        <v>0</v>
      </c>
      <c r="AI61" s="13">
        <f t="shared" si="9"/>
        <v>0</v>
      </c>
      <c r="AJ61" s="13">
        <f t="shared" si="10"/>
        <v>0</v>
      </c>
      <c r="AK61" s="13">
        <f t="shared" si="11"/>
        <v>0</v>
      </c>
      <c r="AL61" s="13">
        <f t="shared" si="12"/>
        <v>0</v>
      </c>
      <c r="AM61" s="13">
        <f t="shared" si="13"/>
        <v>0</v>
      </c>
      <c r="AO61" s="14">
        <f t="shared" si="17"/>
        <v>0</v>
      </c>
      <c r="AP61" s="14">
        <f t="shared" si="16"/>
        <v>0</v>
      </c>
      <c r="AQ61" s="14">
        <f t="shared" si="16"/>
        <v>0</v>
      </c>
      <c r="AR61" s="14">
        <f t="shared" si="16"/>
        <v>0</v>
      </c>
      <c r="AS61" s="14">
        <f t="shared" si="16"/>
        <v>0</v>
      </c>
      <c r="AT61" s="14">
        <f t="shared" si="16"/>
        <v>0</v>
      </c>
      <c r="AU61" s="14">
        <f t="shared" si="16"/>
        <v>0</v>
      </c>
      <c r="AV61" s="14">
        <f t="shared" si="16"/>
        <v>0</v>
      </c>
      <c r="AW61" s="14">
        <f t="shared" si="16"/>
        <v>0</v>
      </c>
      <c r="AX61" s="14">
        <f t="shared" si="16"/>
        <v>0</v>
      </c>
      <c r="AY61" s="14">
        <f t="shared" si="16"/>
        <v>0</v>
      </c>
      <c r="AZ61" s="14">
        <f t="shared" si="16"/>
        <v>0</v>
      </c>
    </row>
    <row r="62" spans="1:52">
      <c r="A62">
        <f>Grades!A62</f>
        <v>0</v>
      </c>
      <c r="B62">
        <f>Grades!B62</f>
        <v>0</v>
      </c>
      <c r="C62" s="12">
        <f>Grades!C62</f>
        <v>0</v>
      </c>
      <c r="D62" s="13">
        <f t="shared" si="1"/>
        <v>0</v>
      </c>
      <c r="E62" s="13"/>
      <c r="F62" s="13"/>
      <c r="G62" s="13"/>
      <c r="H62" s="13"/>
      <c r="I62" s="13"/>
      <c r="J62" s="13"/>
      <c r="K62" s="13"/>
      <c r="L62" s="13"/>
      <c r="M62" s="13"/>
      <c r="N62" s="13"/>
      <c r="O62" s="13"/>
      <c r="P62" s="13"/>
      <c r="Q62" s="13"/>
      <c r="R62" s="13"/>
      <c r="S62" s="13"/>
      <c r="T62" s="13"/>
      <c r="U62" s="13"/>
      <c r="V62" s="13"/>
      <c r="W62" s="13"/>
      <c r="X62" s="13"/>
      <c r="Y62" s="13"/>
      <c r="Z62" s="13"/>
      <c r="AB62" s="13">
        <f t="shared" si="2"/>
        <v>0</v>
      </c>
      <c r="AC62" s="13">
        <f t="shared" si="3"/>
        <v>0</v>
      </c>
      <c r="AD62" s="13">
        <f t="shared" si="4"/>
        <v>0</v>
      </c>
      <c r="AE62" s="13">
        <f t="shared" si="5"/>
        <v>0</v>
      </c>
      <c r="AF62" s="13">
        <f t="shared" si="6"/>
        <v>0</v>
      </c>
      <c r="AG62" s="13">
        <f t="shared" si="7"/>
        <v>0</v>
      </c>
      <c r="AH62" s="13">
        <f t="shared" si="8"/>
        <v>0</v>
      </c>
      <c r="AI62" s="13">
        <f t="shared" si="9"/>
        <v>0</v>
      </c>
      <c r="AJ62" s="13">
        <f t="shared" si="10"/>
        <v>0</v>
      </c>
      <c r="AK62" s="13">
        <f t="shared" si="11"/>
        <v>0</v>
      </c>
      <c r="AL62" s="13">
        <f t="shared" si="12"/>
        <v>0</v>
      </c>
      <c r="AM62" s="13">
        <f t="shared" si="13"/>
        <v>0</v>
      </c>
      <c r="AO62" s="14">
        <f t="shared" si="17"/>
        <v>0</v>
      </c>
      <c r="AP62" s="14">
        <f t="shared" si="16"/>
        <v>0</v>
      </c>
      <c r="AQ62" s="14">
        <f t="shared" si="16"/>
        <v>0</v>
      </c>
      <c r="AR62" s="14">
        <f t="shared" si="16"/>
        <v>0</v>
      </c>
      <c r="AS62" s="14">
        <f t="shared" si="16"/>
        <v>0</v>
      </c>
      <c r="AT62" s="14">
        <f t="shared" si="16"/>
        <v>0</v>
      </c>
      <c r="AU62" s="14">
        <f t="shared" si="16"/>
        <v>0</v>
      </c>
      <c r="AV62" s="14">
        <f t="shared" si="16"/>
        <v>0</v>
      </c>
      <c r="AW62" s="14">
        <f t="shared" si="16"/>
        <v>0</v>
      </c>
      <c r="AX62" s="14">
        <f t="shared" si="16"/>
        <v>0</v>
      </c>
      <c r="AY62" s="14">
        <f t="shared" si="16"/>
        <v>0</v>
      </c>
      <c r="AZ62" s="14">
        <f t="shared" si="16"/>
        <v>0</v>
      </c>
    </row>
    <row r="63" spans="1:52">
      <c r="A63">
        <f>Grades!A63</f>
        <v>0</v>
      </c>
      <c r="B63">
        <f>Grades!B63</f>
        <v>0</v>
      </c>
      <c r="C63" s="12">
        <f>Grades!C63</f>
        <v>0</v>
      </c>
      <c r="D63" s="13">
        <f t="shared" si="1"/>
        <v>0</v>
      </c>
      <c r="E63" s="13"/>
      <c r="F63" s="13"/>
      <c r="G63" s="13"/>
      <c r="H63" s="13"/>
      <c r="I63" s="13"/>
      <c r="J63" s="13"/>
      <c r="K63" s="13"/>
      <c r="L63" s="13"/>
      <c r="M63" s="13"/>
      <c r="N63" s="13"/>
      <c r="O63" s="13"/>
      <c r="P63" s="13"/>
      <c r="Q63" s="13"/>
      <c r="R63" s="13"/>
      <c r="S63" s="13"/>
      <c r="T63" s="13"/>
      <c r="U63" s="13"/>
      <c r="V63" s="13"/>
      <c r="W63" s="13"/>
      <c r="X63" s="13"/>
      <c r="Y63" s="13"/>
      <c r="Z63" s="13"/>
      <c r="AB63" s="13">
        <f t="shared" si="2"/>
        <v>0</v>
      </c>
      <c r="AC63" s="13">
        <f t="shared" si="3"/>
        <v>0</v>
      </c>
      <c r="AD63" s="13">
        <f t="shared" si="4"/>
        <v>0</v>
      </c>
      <c r="AE63" s="13">
        <f t="shared" si="5"/>
        <v>0</v>
      </c>
      <c r="AF63" s="13">
        <f t="shared" si="6"/>
        <v>0</v>
      </c>
      <c r="AG63" s="13">
        <f t="shared" si="7"/>
        <v>0</v>
      </c>
      <c r="AH63" s="13">
        <f t="shared" si="8"/>
        <v>0</v>
      </c>
      <c r="AI63" s="13">
        <f t="shared" si="9"/>
        <v>0</v>
      </c>
      <c r="AJ63" s="13">
        <f t="shared" si="10"/>
        <v>0</v>
      </c>
      <c r="AK63" s="13">
        <f t="shared" si="11"/>
        <v>0</v>
      </c>
      <c r="AL63" s="13">
        <f t="shared" si="12"/>
        <v>0</v>
      </c>
      <c r="AM63" s="13">
        <f t="shared" si="13"/>
        <v>0</v>
      </c>
      <c r="AO63" s="14">
        <f t="shared" si="17"/>
        <v>0</v>
      </c>
      <c r="AP63" s="14">
        <f t="shared" si="16"/>
        <v>0</v>
      </c>
      <c r="AQ63" s="14">
        <f t="shared" si="16"/>
        <v>0</v>
      </c>
      <c r="AR63" s="14">
        <f t="shared" si="16"/>
        <v>0</v>
      </c>
      <c r="AS63" s="14">
        <f t="shared" si="16"/>
        <v>0</v>
      </c>
      <c r="AT63" s="14">
        <f t="shared" si="16"/>
        <v>0</v>
      </c>
      <c r="AU63" s="14">
        <f t="shared" si="16"/>
        <v>0</v>
      </c>
      <c r="AV63" s="14">
        <f t="shared" si="16"/>
        <v>0</v>
      </c>
      <c r="AW63" s="14">
        <f t="shared" si="16"/>
        <v>0</v>
      </c>
      <c r="AX63" s="14">
        <f t="shared" si="16"/>
        <v>0</v>
      </c>
      <c r="AY63" s="14">
        <f t="shared" si="16"/>
        <v>0</v>
      </c>
      <c r="AZ63" s="14">
        <f t="shared" si="16"/>
        <v>0</v>
      </c>
    </row>
    <row r="64" spans="1:52">
      <c r="A64">
        <f>Grades!A64</f>
        <v>0</v>
      </c>
      <c r="B64">
        <f>Grades!B64</f>
        <v>0</v>
      </c>
      <c r="C64" s="12">
        <f>Grades!C64</f>
        <v>0</v>
      </c>
      <c r="D64" s="13">
        <f t="shared" si="1"/>
        <v>0</v>
      </c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3"/>
      <c r="P64" s="13"/>
      <c r="Q64" s="13"/>
      <c r="R64" s="13"/>
      <c r="S64" s="13"/>
      <c r="T64" s="13"/>
      <c r="U64" s="13"/>
      <c r="V64" s="13"/>
      <c r="W64" s="13"/>
      <c r="X64" s="13"/>
      <c r="Y64" s="13"/>
      <c r="Z64" s="13"/>
      <c r="AB64" s="13">
        <f t="shared" si="2"/>
        <v>0</v>
      </c>
      <c r="AC64" s="13">
        <f t="shared" si="3"/>
        <v>0</v>
      </c>
      <c r="AD64" s="13">
        <f t="shared" si="4"/>
        <v>0</v>
      </c>
      <c r="AE64" s="13">
        <f t="shared" si="5"/>
        <v>0</v>
      </c>
      <c r="AF64" s="13">
        <f t="shared" si="6"/>
        <v>0</v>
      </c>
      <c r="AG64" s="13">
        <f t="shared" si="7"/>
        <v>0</v>
      </c>
      <c r="AH64" s="13">
        <f t="shared" si="8"/>
        <v>0</v>
      </c>
      <c r="AI64" s="13">
        <f t="shared" si="9"/>
        <v>0</v>
      </c>
      <c r="AJ64" s="13">
        <f t="shared" si="10"/>
        <v>0</v>
      </c>
      <c r="AK64" s="13">
        <f t="shared" si="11"/>
        <v>0</v>
      </c>
      <c r="AL64" s="13">
        <f t="shared" si="12"/>
        <v>0</v>
      </c>
      <c r="AM64" s="13">
        <f t="shared" si="13"/>
        <v>0</v>
      </c>
      <c r="AO64" s="14">
        <f t="shared" si="17"/>
        <v>0</v>
      </c>
      <c r="AP64" s="14">
        <f t="shared" si="16"/>
        <v>0</v>
      </c>
      <c r="AQ64" s="14">
        <f t="shared" si="16"/>
        <v>0</v>
      </c>
      <c r="AR64" s="14">
        <f t="shared" si="16"/>
        <v>0</v>
      </c>
      <c r="AS64" s="14">
        <f t="shared" si="16"/>
        <v>0</v>
      </c>
      <c r="AT64" s="14">
        <f t="shared" si="16"/>
        <v>0</v>
      </c>
      <c r="AU64" s="14">
        <f t="shared" si="16"/>
        <v>0</v>
      </c>
      <c r="AV64" s="14">
        <f t="shared" si="16"/>
        <v>0</v>
      </c>
      <c r="AW64" s="14">
        <f t="shared" si="16"/>
        <v>0</v>
      </c>
      <c r="AX64" s="14">
        <f t="shared" si="16"/>
        <v>0</v>
      </c>
      <c r="AY64" s="14">
        <f t="shared" si="16"/>
        <v>0</v>
      </c>
      <c r="AZ64" s="14">
        <f t="shared" si="16"/>
        <v>0</v>
      </c>
    </row>
    <row r="65" spans="1:52">
      <c r="A65">
        <f>Grades!A65</f>
        <v>0</v>
      </c>
      <c r="B65">
        <f>Grades!B65</f>
        <v>0</v>
      </c>
      <c r="C65" s="12">
        <f>Grades!C65</f>
        <v>0</v>
      </c>
      <c r="D65" s="13">
        <f t="shared" si="1"/>
        <v>0</v>
      </c>
      <c r="E65" s="13"/>
      <c r="F65" s="13"/>
      <c r="G65" s="13"/>
      <c r="H65" s="13"/>
      <c r="I65" s="13"/>
      <c r="J65" s="13"/>
      <c r="K65" s="13"/>
      <c r="L65" s="13"/>
      <c r="M65" s="13"/>
      <c r="N65" s="13"/>
      <c r="O65" s="13"/>
      <c r="P65" s="13"/>
      <c r="Q65" s="13"/>
      <c r="R65" s="13"/>
      <c r="S65" s="13"/>
      <c r="T65" s="13"/>
      <c r="U65" s="13"/>
      <c r="V65" s="13"/>
      <c r="W65" s="13"/>
      <c r="X65" s="13"/>
      <c r="Y65" s="13"/>
      <c r="Z65" s="13"/>
      <c r="AB65" s="13">
        <f t="shared" si="2"/>
        <v>0</v>
      </c>
      <c r="AC65" s="13">
        <f t="shared" si="3"/>
        <v>0</v>
      </c>
      <c r="AD65" s="13">
        <f t="shared" si="4"/>
        <v>0</v>
      </c>
      <c r="AE65" s="13">
        <f t="shared" si="5"/>
        <v>0</v>
      </c>
      <c r="AF65" s="13">
        <f t="shared" si="6"/>
        <v>0</v>
      </c>
      <c r="AG65" s="13">
        <f t="shared" si="7"/>
        <v>0</v>
      </c>
      <c r="AH65" s="13">
        <f t="shared" si="8"/>
        <v>0</v>
      </c>
      <c r="AI65" s="13">
        <f t="shared" si="9"/>
        <v>0</v>
      </c>
      <c r="AJ65" s="13">
        <f t="shared" si="10"/>
        <v>0</v>
      </c>
      <c r="AK65" s="13">
        <f t="shared" si="11"/>
        <v>0</v>
      </c>
      <c r="AL65" s="13">
        <f t="shared" si="12"/>
        <v>0</v>
      </c>
      <c r="AM65" s="13">
        <f t="shared" si="13"/>
        <v>0</v>
      </c>
      <c r="AO65" s="14">
        <f t="shared" si="17"/>
        <v>0</v>
      </c>
      <c r="AP65" s="14">
        <f t="shared" si="16"/>
        <v>0</v>
      </c>
      <c r="AQ65" s="14">
        <f t="shared" si="16"/>
        <v>0</v>
      </c>
      <c r="AR65" s="14">
        <f t="shared" si="16"/>
        <v>0</v>
      </c>
      <c r="AS65" s="14">
        <f t="shared" si="16"/>
        <v>0</v>
      </c>
      <c r="AT65" s="14">
        <f t="shared" si="16"/>
        <v>0</v>
      </c>
      <c r="AU65" s="14">
        <f t="shared" si="16"/>
        <v>0</v>
      </c>
      <c r="AV65" s="14">
        <f t="shared" si="16"/>
        <v>0</v>
      </c>
      <c r="AW65" s="14">
        <f t="shared" si="16"/>
        <v>0</v>
      </c>
      <c r="AX65" s="14">
        <f t="shared" si="16"/>
        <v>0</v>
      </c>
      <c r="AY65" s="14">
        <f t="shared" si="16"/>
        <v>0</v>
      </c>
      <c r="AZ65" s="14">
        <f t="shared" si="16"/>
        <v>0</v>
      </c>
    </row>
    <row r="66" spans="1:52">
      <c r="A66">
        <f>Grades!A66</f>
        <v>0</v>
      </c>
      <c r="B66">
        <f>Grades!B66</f>
        <v>0</v>
      </c>
      <c r="C66" s="12">
        <f>Grades!C66</f>
        <v>0</v>
      </c>
      <c r="D66" s="13">
        <f t="shared" si="1"/>
        <v>0</v>
      </c>
      <c r="E66" s="13"/>
      <c r="F66" s="13"/>
      <c r="G66" s="13"/>
      <c r="H66" s="13"/>
      <c r="I66" s="13"/>
      <c r="J66" s="13"/>
      <c r="K66" s="13"/>
      <c r="L66" s="13"/>
      <c r="M66" s="13"/>
      <c r="N66" s="13"/>
      <c r="O66" s="13"/>
      <c r="P66" s="13"/>
      <c r="Q66" s="13"/>
      <c r="R66" s="13"/>
      <c r="S66" s="13"/>
      <c r="T66" s="13"/>
      <c r="U66" s="13"/>
      <c r="V66" s="13"/>
      <c r="W66" s="13"/>
      <c r="X66" s="13"/>
      <c r="Y66" s="13"/>
      <c r="Z66" s="13"/>
      <c r="AB66" s="13">
        <f t="shared" si="2"/>
        <v>0</v>
      </c>
      <c r="AC66" s="13">
        <f t="shared" si="3"/>
        <v>0</v>
      </c>
      <c r="AD66" s="13">
        <f t="shared" si="4"/>
        <v>0</v>
      </c>
      <c r="AE66" s="13">
        <f t="shared" si="5"/>
        <v>0</v>
      </c>
      <c r="AF66" s="13">
        <f t="shared" si="6"/>
        <v>0</v>
      </c>
      <c r="AG66" s="13">
        <f t="shared" si="7"/>
        <v>0</v>
      </c>
      <c r="AH66" s="13">
        <f t="shared" si="8"/>
        <v>0</v>
      </c>
      <c r="AI66" s="13">
        <f t="shared" si="9"/>
        <v>0</v>
      </c>
      <c r="AJ66" s="13">
        <f t="shared" si="10"/>
        <v>0</v>
      </c>
      <c r="AK66" s="13">
        <f t="shared" si="11"/>
        <v>0</v>
      </c>
      <c r="AL66" s="13">
        <f t="shared" si="12"/>
        <v>0</v>
      </c>
      <c r="AM66" s="13">
        <f t="shared" si="13"/>
        <v>0</v>
      </c>
      <c r="AO66" s="14">
        <f t="shared" si="17"/>
        <v>0</v>
      </c>
      <c r="AP66" s="14">
        <f t="shared" si="16"/>
        <v>0</v>
      </c>
      <c r="AQ66" s="14">
        <f t="shared" si="16"/>
        <v>0</v>
      </c>
      <c r="AR66" s="14">
        <f t="shared" si="16"/>
        <v>0</v>
      </c>
      <c r="AS66" s="14">
        <f t="shared" si="16"/>
        <v>0</v>
      </c>
      <c r="AT66" s="14">
        <f t="shared" si="16"/>
        <v>0</v>
      </c>
      <c r="AU66" s="14">
        <f t="shared" si="16"/>
        <v>0</v>
      </c>
      <c r="AV66" s="14">
        <f t="shared" si="16"/>
        <v>0</v>
      </c>
      <c r="AW66" s="14">
        <f t="shared" si="16"/>
        <v>0</v>
      </c>
      <c r="AX66" s="14">
        <f t="shared" si="16"/>
        <v>0</v>
      </c>
      <c r="AY66" s="14">
        <f t="shared" si="16"/>
        <v>0</v>
      </c>
      <c r="AZ66" s="14">
        <f t="shared" si="16"/>
        <v>0</v>
      </c>
    </row>
    <row r="67" spans="1:52">
      <c r="A67">
        <f>Grades!A67</f>
        <v>0</v>
      </c>
      <c r="B67">
        <f>Grades!B67</f>
        <v>0</v>
      </c>
      <c r="C67" s="12">
        <f>Grades!C67</f>
        <v>0</v>
      </c>
      <c r="D67" s="13">
        <f t="shared" si="1"/>
        <v>0</v>
      </c>
      <c r="E67" s="13"/>
      <c r="F67" s="13"/>
      <c r="G67" s="13"/>
      <c r="H67" s="13"/>
      <c r="I67" s="13"/>
      <c r="J67" s="13"/>
      <c r="K67" s="13"/>
      <c r="L67" s="13"/>
      <c r="M67" s="13"/>
      <c r="N67" s="13"/>
      <c r="O67" s="13"/>
      <c r="P67" s="13"/>
      <c r="Q67" s="13"/>
      <c r="R67" s="13"/>
      <c r="S67" s="13"/>
      <c r="T67" s="13"/>
      <c r="U67" s="13"/>
      <c r="V67" s="13"/>
      <c r="W67" s="13"/>
      <c r="X67" s="13"/>
      <c r="Y67" s="13"/>
      <c r="Z67" s="13"/>
      <c r="AB67" s="13">
        <f t="shared" si="2"/>
        <v>0</v>
      </c>
      <c r="AC67" s="13">
        <f t="shared" si="3"/>
        <v>0</v>
      </c>
      <c r="AD67" s="13">
        <f t="shared" si="4"/>
        <v>0</v>
      </c>
      <c r="AE67" s="13">
        <f t="shared" si="5"/>
        <v>0</v>
      </c>
      <c r="AF67" s="13">
        <f t="shared" si="6"/>
        <v>0</v>
      </c>
      <c r="AG67" s="13">
        <f t="shared" si="7"/>
        <v>0</v>
      </c>
      <c r="AH67" s="13">
        <f t="shared" si="8"/>
        <v>0</v>
      </c>
      <c r="AI67" s="13">
        <f t="shared" si="9"/>
        <v>0</v>
      </c>
      <c r="AJ67" s="13">
        <f t="shared" si="10"/>
        <v>0</v>
      </c>
      <c r="AK67" s="13">
        <f t="shared" si="11"/>
        <v>0</v>
      </c>
      <c r="AL67" s="13">
        <f t="shared" si="12"/>
        <v>0</v>
      </c>
      <c r="AM67" s="13">
        <f t="shared" si="13"/>
        <v>0</v>
      </c>
      <c r="AO67" s="14">
        <f t="shared" si="17"/>
        <v>0</v>
      </c>
      <c r="AP67" s="14">
        <f t="shared" si="16"/>
        <v>0</v>
      </c>
      <c r="AQ67" s="14">
        <f t="shared" si="16"/>
        <v>0</v>
      </c>
      <c r="AR67" s="14">
        <f t="shared" si="16"/>
        <v>0</v>
      </c>
      <c r="AS67" s="14">
        <f t="shared" si="16"/>
        <v>0</v>
      </c>
      <c r="AT67" s="14">
        <f t="shared" si="16"/>
        <v>0</v>
      </c>
      <c r="AU67" s="14">
        <f t="shared" si="16"/>
        <v>0</v>
      </c>
      <c r="AV67" s="14">
        <f t="shared" si="16"/>
        <v>0</v>
      </c>
      <c r="AW67" s="14">
        <f t="shared" si="16"/>
        <v>0</v>
      </c>
      <c r="AX67" s="14">
        <f t="shared" si="16"/>
        <v>0</v>
      </c>
      <c r="AY67" s="14">
        <f t="shared" si="16"/>
        <v>0</v>
      </c>
      <c r="AZ67" s="14">
        <f t="shared" si="16"/>
        <v>0</v>
      </c>
    </row>
    <row r="68" spans="1:52">
      <c r="A68">
        <f>Grades!A68</f>
        <v>0</v>
      </c>
      <c r="B68">
        <f>Grades!B68</f>
        <v>0</v>
      </c>
      <c r="C68" s="12">
        <f>Grades!C68</f>
        <v>0</v>
      </c>
      <c r="D68" s="13">
        <f t="shared" si="1"/>
        <v>0</v>
      </c>
      <c r="E68" s="13"/>
      <c r="F68" s="13"/>
      <c r="G68" s="13"/>
      <c r="H68" s="13"/>
      <c r="I68" s="13"/>
      <c r="J68" s="13"/>
      <c r="K68" s="13"/>
      <c r="L68" s="13"/>
      <c r="M68" s="13"/>
      <c r="N68" s="13"/>
      <c r="O68" s="13"/>
      <c r="P68" s="13"/>
      <c r="Q68" s="13"/>
      <c r="R68" s="13"/>
      <c r="S68" s="13"/>
      <c r="T68" s="13"/>
      <c r="U68" s="13"/>
      <c r="V68" s="13"/>
      <c r="W68" s="13"/>
      <c r="X68" s="13"/>
      <c r="Y68" s="13"/>
      <c r="Z68" s="13"/>
      <c r="AB68" s="13">
        <f t="shared" si="2"/>
        <v>0</v>
      </c>
      <c r="AC68" s="13">
        <f t="shared" si="3"/>
        <v>0</v>
      </c>
      <c r="AD68" s="13">
        <f t="shared" si="4"/>
        <v>0</v>
      </c>
      <c r="AE68" s="13">
        <f t="shared" si="5"/>
        <v>0</v>
      </c>
      <c r="AF68" s="13">
        <f t="shared" si="6"/>
        <v>0</v>
      </c>
      <c r="AG68" s="13">
        <f t="shared" si="7"/>
        <v>0</v>
      </c>
      <c r="AH68" s="13">
        <f t="shared" si="8"/>
        <v>0</v>
      </c>
      <c r="AI68" s="13">
        <f t="shared" si="9"/>
        <v>0</v>
      </c>
      <c r="AJ68" s="13">
        <f t="shared" si="10"/>
        <v>0</v>
      </c>
      <c r="AK68" s="13">
        <f t="shared" si="11"/>
        <v>0</v>
      </c>
      <c r="AL68" s="13">
        <f t="shared" si="12"/>
        <v>0</v>
      </c>
      <c r="AM68" s="13">
        <f t="shared" si="13"/>
        <v>0</v>
      </c>
      <c r="AO68" s="14">
        <f t="shared" si="17"/>
        <v>0</v>
      </c>
      <c r="AP68" s="14">
        <f t="shared" si="16"/>
        <v>0</v>
      </c>
      <c r="AQ68" s="14">
        <f t="shared" si="16"/>
        <v>0</v>
      </c>
      <c r="AR68" s="14">
        <f t="shared" si="16"/>
        <v>0</v>
      </c>
      <c r="AS68" s="14">
        <f t="shared" si="16"/>
        <v>0</v>
      </c>
      <c r="AT68" s="14">
        <f t="shared" si="16"/>
        <v>0</v>
      </c>
      <c r="AU68" s="14">
        <f t="shared" si="16"/>
        <v>0</v>
      </c>
      <c r="AV68" s="14">
        <f t="shared" si="16"/>
        <v>0</v>
      </c>
      <c r="AW68" s="14">
        <f t="shared" si="16"/>
        <v>0</v>
      </c>
      <c r="AX68" s="14">
        <f t="shared" si="16"/>
        <v>0</v>
      </c>
      <c r="AY68" s="14">
        <f t="shared" si="16"/>
        <v>0</v>
      </c>
      <c r="AZ68" s="14">
        <f t="shared" si="16"/>
        <v>0</v>
      </c>
    </row>
    <row r="69" spans="1:52">
      <c r="A69">
        <f>Grades!A69</f>
        <v>0</v>
      </c>
      <c r="B69">
        <f>Grades!B69</f>
        <v>0</v>
      </c>
      <c r="C69" s="12">
        <f>Grades!C69</f>
        <v>0</v>
      </c>
      <c r="D69" s="13">
        <f t="shared" si="1"/>
        <v>0</v>
      </c>
      <c r="E69" s="13"/>
      <c r="F69" s="13"/>
      <c r="G69" s="13"/>
      <c r="H69" s="13"/>
      <c r="I69" s="13"/>
      <c r="J69" s="13"/>
      <c r="K69" s="13"/>
      <c r="L69" s="13"/>
      <c r="M69" s="13"/>
      <c r="N69" s="13"/>
      <c r="O69" s="13"/>
      <c r="P69" s="13"/>
      <c r="Q69" s="13"/>
      <c r="R69" s="13"/>
      <c r="S69" s="13"/>
      <c r="T69" s="13"/>
      <c r="U69" s="13"/>
      <c r="V69" s="13"/>
      <c r="W69" s="13"/>
      <c r="X69" s="13"/>
      <c r="Y69" s="13"/>
      <c r="Z69" s="13"/>
      <c r="AB69" s="13">
        <f t="shared" si="2"/>
        <v>0</v>
      </c>
      <c r="AC69" s="13">
        <f t="shared" si="3"/>
        <v>0</v>
      </c>
      <c r="AD69" s="13">
        <f t="shared" si="4"/>
        <v>0</v>
      </c>
      <c r="AE69" s="13">
        <f t="shared" si="5"/>
        <v>0</v>
      </c>
      <c r="AF69" s="13">
        <f t="shared" si="6"/>
        <v>0</v>
      </c>
      <c r="AG69" s="13">
        <f t="shared" si="7"/>
        <v>0</v>
      </c>
      <c r="AH69" s="13">
        <f t="shared" si="8"/>
        <v>0</v>
      </c>
      <c r="AI69" s="13">
        <f t="shared" si="9"/>
        <v>0</v>
      </c>
      <c r="AJ69" s="13">
        <f t="shared" si="10"/>
        <v>0</v>
      </c>
      <c r="AK69" s="13">
        <f t="shared" si="11"/>
        <v>0</v>
      </c>
      <c r="AL69" s="13">
        <f t="shared" si="12"/>
        <v>0</v>
      </c>
      <c r="AM69" s="13">
        <f t="shared" si="13"/>
        <v>0</v>
      </c>
      <c r="AO69" s="14">
        <f t="shared" si="17"/>
        <v>0</v>
      </c>
      <c r="AP69" s="14">
        <f t="shared" si="16"/>
        <v>0</v>
      </c>
      <c r="AQ69" s="14">
        <f t="shared" si="16"/>
        <v>0</v>
      </c>
      <c r="AR69" s="14">
        <f t="shared" ref="AR69:AZ97" si="18">IF(AE$9&gt;0,AE69/AE$9,0)</f>
        <v>0</v>
      </c>
      <c r="AS69" s="14">
        <f t="shared" si="18"/>
        <v>0</v>
      </c>
      <c r="AT69" s="14">
        <f t="shared" si="18"/>
        <v>0</v>
      </c>
      <c r="AU69" s="14">
        <f t="shared" si="18"/>
        <v>0</v>
      </c>
      <c r="AV69" s="14">
        <f t="shared" si="18"/>
        <v>0</v>
      </c>
      <c r="AW69" s="14">
        <f t="shared" si="18"/>
        <v>0</v>
      </c>
      <c r="AX69" s="14">
        <f t="shared" si="18"/>
        <v>0</v>
      </c>
      <c r="AY69" s="14">
        <f t="shared" si="18"/>
        <v>0</v>
      </c>
      <c r="AZ69" s="14">
        <f t="shared" si="18"/>
        <v>0</v>
      </c>
    </row>
    <row r="70" spans="1:52">
      <c r="A70">
        <f>Grades!A70</f>
        <v>0</v>
      </c>
      <c r="B70">
        <f>Grades!B70</f>
        <v>0</v>
      </c>
      <c r="C70" s="12">
        <f>Grades!C70</f>
        <v>0</v>
      </c>
      <c r="D70" s="13">
        <f t="shared" si="1"/>
        <v>0</v>
      </c>
      <c r="E70" s="13"/>
      <c r="F70" s="13"/>
      <c r="G70" s="13"/>
      <c r="H70" s="13"/>
      <c r="I70" s="13"/>
      <c r="J70" s="13"/>
      <c r="K70" s="13"/>
      <c r="L70" s="13"/>
      <c r="M70" s="13"/>
      <c r="N70" s="13"/>
      <c r="O70" s="13"/>
      <c r="P70" s="13"/>
      <c r="Q70" s="13"/>
      <c r="R70" s="13"/>
      <c r="S70" s="13"/>
      <c r="T70" s="13"/>
      <c r="U70" s="13"/>
      <c r="V70" s="13"/>
      <c r="W70" s="13"/>
      <c r="X70" s="13"/>
      <c r="Y70" s="13"/>
      <c r="Z70" s="13"/>
      <c r="AB70" s="13">
        <f t="shared" si="2"/>
        <v>0</v>
      </c>
      <c r="AC70" s="13">
        <f t="shared" si="3"/>
        <v>0</v>
      </c>
      <c r="AD70" s="13">
        <f t="shared" si="4"/>
        <v>0</v>
      </c>
      <c r="AE70" s="13">
        <f t="shared" si="5"/>
        <v>0</v>
      </c>
      <c r="AF70" s="13">
        <f t="shared" si="6"/>
        <v>0</v>
      </c>
      <c r="AG70" s="13">
        <f t="shared" si="7"/>
        <v>0</v>
      </c>
      <c r="AH70" s="13">
        <f t="shared" si="8"/>
        <v>0</v>
      </c>
      <c r="AI70" s="13">
        <f t="shared" si="9"/>
        <v>0</v>
      </c>
      <c r="AJ70" s="13">
        <f t="shared" si="10"/>
        <v>0</v>
      </c>
      <c r="AK70" s="13">
        <f t="shared" si="11"/>
        <v>0</v>
      </c>
      <c r="AL70" s="13">
        <f t="shared" si="12"/>
        <v>0</v>
      </c>
      <c r="AM70" s="13">
        <f t="shared" si="13"/>
        <v>0</v>
      </c>
      <c r="AO70" s="14">
        <f t="shared" si="17"/>
        <v>0</v>
      </c>
      <c r="AP70" s="14">
        <f t="shared" si="17"/>
        <v>0</v>
      </c>
      <c r="AQ70" s="14">
        <f t="shared" si="17"/>
        <v>0</v>
      </c>
      <c r="AR70" s="14">
        <f t="shared" si="18"/>
        <v>0</v>
      </c>
      <c r="AS70" s="14">
        <f t="shared" si="18"/>
        <v>0</v>
      </c>
      <c r="AT70" s="14">
        <f t="shared" si="18"/>
        <v>0</v>
      </c>
      <c r="AU70" s="14">
        <f t="shared" si="18"/>
        <v>0</v>
      </c>
      <c r="AV70" s="14">
        <f t="shared" si="18"/>
        <v>0</v>
      </c>
      <c r="AW70" s="14">
        <f t="shared" si="18"/>
        <v>0</v>
      </c>
      <c r="AX70" s="14">
        <f t="shared" si="18"/>
        <v>0</v>
      </c>
      <c r="AY70" s="14">
        <f t="shared" si="18"/>
        <v>0</v>
      </c>
      <c r="AZ70" s="14">
        <f t="shared" si="18"/>
        <v>0</v>
      </c>
    </row>
    <row r="71" spans="1:52">
      <c r="A71">
        <f>Grades!A71</f>
        <v>0</v>
      </c>
      <c r="B71">
        <f>Grades!B71</f>
        <v>0</v>
      </c>
      <c r="C71" s="12">
        <f>Grades!C71</f>
        <v>0</v>
      </c>
      <c r="D71" s="13">
        <f t="shared" si="1"/>
        <v>0</v>
      </c>
      <c r="E71" s="13"/>
      <c r="F71" s="13"/>
      <c r="G71" s="13"/>
      <c r="H71" s="13"/>
      <c r="I71" s="13"/>
      <c r="J71" s="13"/>
      <c r="K71" s="13"/>
      <c r="L71" s="13"/>
      <c r="M71" s="13"/>
      <c r="N71" s="13"/>
      <c r="O71" s="13"/>
      <c r="P71" s="13"/>
      <c r="Q71" s="13"/>
      <c r="R71" s="13"/>
      <c r="S71" s="13"/>
      <c r="T71" s="13"/>
      <c r="U71" s="13"/>
      <c r="V71" s="13"/>
      <c r="W71" s="13"/>
      <c r="X71" s="13"/>
      <c r="Y71" s="13"/>
      <c r="Z71" s="13"/>
      <c r="AB71" s="13">
        <f t="shared" si="2"/>
        <v>0</v>
      </c>
      <c r="AC71" s="13">
        <f t="shared" si="3"/>
        <v>0</v>
      </c>
      <c r="AD71" s="13">
        <f t="shared" si="4"/>
        <v>0</v>
      </c>
      <c r="AE71" s="13">
        <f t="shared" si="5"/>
        <v>0</v>
      </c>
      <c r="AF71" s="13">
        <f t="shared" si="6"/>
        <v>0</v>
      </c>
      <c r="AG71" s="13">
        <f t="shared" si="7"/>
        <v>0</v>
      </c>
      <c r="AH71" s="13">
        <f t="shared" si="8"/>
        <v>0</v>
      </c>
      <c r="AI71" s="13">
        <f t="shared" si="9"/>
        <v>0</v>
      </c>
      <c r="AJ71" s="13">
        <f t="shared" si="10"/>
        <v>0</v>
      </c>
      <c r="AK71" s="13">
        <f t="shared" si="11"/>
        <v>0</v>
      </c>
      <c r="AL71" s="13">
        <f t="shared" si="12"/>
        <v>0</v>
      </c>
      <c r="AM71" s="13">
        <f t="shared" si="13"/>
        <v>0</v>
      </c>
      <c r="AO71" s="14">
        <f t="shared" si="17"/>
        <v>0</v>
      </c>
      <c r="AP71" s="14">
        <f t="shared" si="17"/>
        <v>0</v>
      </c>
      <c r="AQ71" s="14">
        <f t="shared" si="17"/>
        <v>0</v>
      </c>
      <c r="AR71" s="14">
        <f t="shared" si="18"/>
        <v>0</v>
      </c>
      <c r="AS71" s="14">
        <f t="shared" si="18"/>
        <v>0</v>
      </c>
      <c r="AT71" s="14">
        <f t="shared" si="18"/>
        <v>0</v>
      </c>
      <c r="AU71" s="14">
        <f t="shared" si="18"/>
        <v>0</v>
      </c>
      <c r="AV71" s="14">
        <f t="shared" si="18"/>
        <v>0</v>
      </c>
      <c r="AW71" s="14">
        <f t="shared" si="18"/>
        <v>0</v>
      </c>
      <c r="AX71" s="14">
        <f t="shared" si="18"/>
        <v>0</v>
      </c>
      <c r="AY71" s="14">
        <f t="shared" si="18"/>
        <v>0</v>
      </c>
      <c r="AZ71" s="14">
        <f t="shared" si="18"/>
        <v>0</v>
      </c>
    </row>
    <row r="72" spans="1:52">
      <c r="A72">
        <f>Grades!A72</f>
        <v>0</v>
      </c>
      <c r="B72">
        <f>Grades!B72</f>
        <v>0</v>
      </c>
      <c r="C72" s="12">
        <f>Grades!C72</f>
        <v>0</v>
      </c>
      <c r="D72" s="13">
        <f t="shared" si="1"/>
        <v>0</v>
      </c>
      <c r="E72" s="13"/>
      <c r="F72" s="13"/>
      <c r="G72" s="13"/>
      <c r="H72" s="13"/>
      <c r="I72" s="13"/>
      <c r="J72" s="13"/>
      <c r="K72" s="13"/>
      <c r="L72" s="13"/>
      <c r="M72" s="13"/>
      <c r="N72" s="13"/>
      <c r="O72" s="13"/>
      <c r="P72" s="13"/>
      <c r="Q72" s="13"/>
      <c r="R72" s="13"/>
      <c r="S72" s="13"/>
      <c r="T72" s="13"/>
      <c r="U72" s="13"/>
      <c r="V72" s="13"/>
      <c r="W72" s="13"/>
      <c r="X72" s="13"/>
      <c r="Y72" s="13"/>
      <c r="Z72" s="13"/>
      <c r="AB72" s="13">
        <f t="shared" si="2"/>
        <v>0</v>
      </c>
      <c r="AC72" s="13">
        <f t="shared" si="3"/>
        <v>0</v>
      </c>
      <c r="AD72" s="13">
        <f t="shared" si="4"/>
        <v>0</v>
      </c>
      <c r="AE72" s="13">
        <f t="shared" si="5"/>
        <v>0</v>
      </c>
      <c r="AF72" s="13">
        <f t="shared" si="6"/>
        <v>0</v>
      </c>
      <c r="AG72" s="13">
        <f t="shared" si="7"/>
        <v>0</v>
      </c>
      <c r="AH72" s="13">
        <f t="shared" si="8"/>
        <v>0</v>
      </c>
      <c r="AI72" s="13">
        <f t="shared" si="9"/>
        <v>0</v>
      </c>
      <c r="AJ72" s="13">
        <f t="shared" si="10"/>
        <v>0</v>
      </c>
      <c r="AK72" s="13">
        <f t="shared" si="11"/>
        <v>0</v>
      </c>
      <c r="AL72" s="13">
        <f t="shared" si="12"/>
        <v>0</v>
      </c>
      <c r="AM72" s="13">
        <f t="shared" si="13"/>
        <v>0</v>
      </c>
      <c r="AO72" s="14">
        <f t="shared" si="17"/>
        <v>0</v>
      </c>
      <c r="AP72" s="14">
        <f t="shared" si="17"/>
        <v>0</v>
      </c>
      <c r="AQ72" s="14">
        <f t="shared" si="17"/>
        <v>0</v>
      </c>
      <c r="AR72" s="14">
        <f t="shared" si="18"/>
        <v>0</v>
      </c>
      <c r="AS72" s="14">
        <f t="shared" si="18"/>
        <v>0</v>
      </c>
      <c r="AT72" s="14">
        <f t="shared" si="18"/>
        <v>0</v>
      </c>
      <c r="AU72" s="14">
        <f t="shared" si="18"/>
        <v>0</v>
      </c>
      <c r="AV72" s="14">
        <f t="shared" si="18"/>
        <v>0</v>
      </c>
      <c r="AW72" s="14">
        <f t="shared" si="18"/>
        <v>0</v>
      </c>
      <c r="AX72" s="14">
        <f t="shared" si="18"/>
        <v>0</v>
      </c>
      <c r="AY72" s="14">
        <f t="shared" si="18"/>
        <v>0</v>
      </c>
      <c r="AZ72" s="14">
        <f t="shared" si="18"/>
        <v>0</v>
      </c>
    </row>
    <row r="73" spans="1:52">
      <c r="A73">
        <f>Grades!A73</f>
        <v>0</v>
      </c>
      <c r="B73">
        <f>Grades!B73</f>
        <v>0</v>
      </c>
      <c r="C73" s="12">
        <f>Grades!C73</f>
        <v>0</v>
      </c>
      <c r="D73" s="13">
        <f t="shared" si="1"/>
        <v>0</v>
      </c>
      <c r="E73" s="13"/>
      <c r="F73" s="13"/>
      <c r="G73" s="13"/>
      <c r="H73" s="13"/>
      <c r="I73" s="13"/>
      <c r="J73" s="13"/>
      <c r="K73" s="13"/>
      <c r="L73" s="13"/>
      <c r="M73" s="13"/>
      <c r="N73" s="13"/>
      <c r="O73" s="13"/>
      <c r="P73" s="13"/>
      <c r="Q73" s="13"/>
      <c r="R73" s="13"/>
      <c r="S73" s="13"/>
      <c r="T73" s="13"/>
      <c r="U73" s="13"/>
      <c r="V73" s="13"/>
      <c r="W73" s="13"/>
      <c r="X73" s="13"/>
      <c r="Y73" s="13"/>
      <c r="Z73" s="13"/>
      <c r="AB73" s="13">
        <f t="shared" si="2"/>
        <v>0</v>
      </c>
      <c r="AC73" s="13">
        <f t="shared" si="3"/>
        <v>0</v>
      </c>
      <c r="AD73" s="13">
        <f t="shared" si="4"/>
        <v>0</v>
      </c>
      <c r="AE73" s="13">
        <f t="shared" si="5"/>
        <v>0</v>
      </c>
      <c r="AF73" s="13">
        <f t="shared" si="6"/>
        <v>0</v>
      </c>
      <c r="AG73" s="13">
        <f t="shared" si="7"/>
        <v>0</v>
      </c>
      <c r="AH73" s="13">
        <f t="shared" si="8"/>
        <v>0</v>
      </c>
      <c r="AI73" s="13">
        <f t="shared" si="9"/>
        <v>0</v>
      </c>
      <c r="AJ73" s="13">
        <f t="shared" si="10"/>
        <v>0</v>
      </c>
      <c r="AK73" s="13">
        <f t="shared" si="11"/>
        <v>0</v>
      </c>
      <c r="AL73" s="13">
        <f t="shared" si="12"/>
        <v>0</v>
      </c>
      <c r="AM73" s="13">
        <f t="shared" si="13"/>
        <v>0</v>
      </c>
      <c r="AO73" s="14">
        <f t="shared" si="17"/>
        <v>0</v>
      </c>
      <c r="AP73" s="14">
        <f t="shared" si="17"/>
        <v>0</v>
      </c>
      <c r="AQ73" s="14">
        <f t="shared" si="17"/>
        <v>0</v>
      </c>
      <c r="AR73" s="14">
        <f t="shared" si="18"/>
        <v>0</v>
      </c>
      <c r="AS73" s="14">
        <f t="shared" si="18"/>
        <v>0</v>
      </c>
      <c r="AT73" s="14">
        <f t="shared" si="18"/>
        <v>0</v>
      </c>
      <c r="AU73" s="14">
        <f t="shared" si="18"/>
        <v>0</v>
      </c>
      <c r="AV73" s="14">
        <f t="shared" si="18"/>
        <v>0</v>
      </c>
      <c r="AW73" s="14">
        <f t="shared" si="18"/>
        <v>0</v>
      </c>
      <c r="AX73" s="14">
        <f t="shared" si="18"/>
        <v>0</v>
      </c>
      <c r="AY73" s="14">
        <f t="shared" si="18"/>
        <v>0</v>
      </c>
      <c r="AZ73" s="14">
        <f t="shared" si="18"/>
        <v>0</v>
      </c>
    </row>
    <row r="74" spans="1:52">
      <c r="A74">
        <f>Grades!A74</f>
        <v>0</v>
      </c>
      <c r="B74">
        <f>Grades!B74</f>
        <v>0</v>
      </c>
      <c r="C74" s="12">
        <f>Grades!C74</f>
        <v>0</v>
      </c>
      <c r="D74" s="13">
        <f t="shared" si="1"/>
        <v>0</v>
      </c>
      <c r="E74" s="13"/>
      <c r="F74" s="13"/>
      <c r="G74" s="13"/>
      <c r="H74" s="13"/>
      <c r="I74" s="13"/>
      <c r="J74" s="13"/>
      <c r="K74" s="13"/>
      <c r="L74" s="13"/>
      <c r="M74" s="13"/>
      <c r="N74" s="13"/>
      <c r="O74" s="13"/>
      <c r="P74" s="13"/>
      <c r="Q74" s="13"/>
      <c r="R74" s="13"/>
      <c r="S74" s="13"/>
      <c r="T74" s="13"/>
      <c r="U74" s="13"/>
      <c r="V74" s="13"/>
      <c r="W74" s="13"/>
      <c r="X74" s="13"/>
      <c r="Y74" s="13"/>
      <c r="Z74" s="13"/>
      <c r="AB74" s="13">
        <f t="shared" si="2"/>
        <v>0</v>
      </c>
      <c r="AC74" s="13">
        <f t="shared" si="3"/>
        <v>0</v>
      </c>
      <c r="AD74" s="13">
        <f t="shared" si="4"/>
        <v>0</v>
      </c>
      <c r="AE74" s="13">
        <f t="shared" si="5"/>
        <v>0</v>
      </c>
      <c r="AF74" s="13">
        <f t="shared" si="6"/>
        <v>0</v>
      </c>
      <c r="AG74" s="13">
        <f t="shared" si="7"/>
        <v>0</v>
      </c>
      <c r="AH74" s="13">
        <f t="shared" si="8"/>
        <v>0</v>
      </c>
      <c r="AI74" s="13">
        <f t="shared" si="9"/>
        <v>0</v>
      </c>
      <c r="AJ74" s="13">
        <f t="shared" si="10"/>
        <v>0</v>
      </c>
      <c r="AK74" s="13">
        <f t="shared" si="11"/>
        <v>0</v>
      </c>
      <c r="AL74" s="13">
        <f t="shared" si="12"/>
        <v>0</v>
      </c>
      <c r="AM74" s="13">
        <f t="shared" si="13"/>
        <v>0</v>
      </c>
      <c r="AO74" s="14">
        <f t="shared" si="17"/>
        <v>0</v>
      </c>
      <c r="AP74" s="14">
        <f t="shared" si="17"/>
        <v>0</v>
      </c>
      <c r="AQ74" s="14">
        <f t="shared" si="17"/>
        <v>0</v>
      </c>
      <c r="AR74" s="14">
        <f t="shared" si="18"/>
        <v>0</v>
      </c>
      <c r="AS74" s="14">
        <f t="shared" si="18"/>
        <v>0</v>
      </c>
      <c r="AT74" s="14">
        <f t="shared" si="18"/>
        <v>0</v>
      </c>
      <c r="AU74" s="14">
        <f t="shared" si="18"/>
        <v>0</v>
      </c>
      <c r="AV74" s="14">
        <f t="shared" si="18"/>
        <v>0</v>
      </c>
      <c r="AW74" s="14">
        <f t="shared" si="18"/>
        <v>0</v>
      </c>
      <c r="AX74" s="14">
        <f t="shared" si="18"/>
        <v>0</v>
      </c>
      <c r="AY74" s="14">
        <f t="shared" si="18"/>
        <v>0</v>
      </c>
      <c r="AZ74" s="14">
        <f t="shared" si="18"/>
        <v>0</v>
      </c>
    </row>
    <row r="75" spans="1:52">
      <c r="A75">
        <f>Grades!A75</f>
        <v>0</v>
      </c>
      <c r="B75">
        <f>Grades!B75</f>
        <v>0</v>
      </c>
      <c r="C75" s="12">
        <f>Grades!C75</f>
        <v>0</v>
      </c>
      <c r="D75" s="13">
        <f t="shared" ref="D75:D100" si="19">SUM(E75:Z75)</f>
        <v>0</v>
      </c>
      <c r="E75" s="13"/>
      <c r="F75" s="13"/>
      <c r="G75" s="13"/>
      <c r="H75" s="13"/>
      <c r="I75" s="13"/>
      <c r="J75" s="13"/>
      <c r="K75" s="13"/>
      <c r="L75" s="13"/>
      <c r="M75" s="13"/>
      <c r="N75" s="13"/>
      <c r="O75" s="13"/>
      <c r="P75" s="13"/>
      <c r="Q75" s="13"/>
      <c r="R75" s="13"/>
      <c r="S75" s="13"/>
      <c r="T75" s="13"/>
      <c r="U75" s="13"/>
      <c r="V75" s="13"/>
      <c r="W75" s="13"/>
      <c r="X75" s="13"/>
      <c r="Y75" s="13"/>
      <c r="Z75" s="13"/>
      <c r="AB75" s="13">
        <f t="shared" ref="AB75:AB100" si="20">SUMIF($E$9:$Z$9,"3.1.1 ",$E75:$Z75)</f>
        <v>0</v>
      </c>
      <c r="AC75" s="13">
        <f t="shared" ref="AC75:AC100" si="21">SUMIF($E$9:$Z$9,"3.1.2 ",$E75:$Z75)</f>
        <v>0</v>
      </c>
      <c r="AD75" s="13">
        <f t="shared" ref="AD75:AD100" si="22">SUMIF($E$9:$Z$9,"3.1.3 ",$E75:$Z75)</f>
        <v>0</v>
      </c>
      <c r="AE75" s="13">
        <f t="shared" ref="AE75:AE100" si="23">SUMIF($E$9:$Z$9,"3.1.4 ",$E75:$Z75)</f>
        <v>0</v>
      </c>
      <c r="AF75" s="13">
        <f t="shared" ref="AF75:AF100" si="24">SUMIF($E$9:$Z$9,"3.1.5 ",$E75:$Z75)</f>
        <v>0</v>
      </c>
      <c r="AG75" s="13">
        <f t="shared" ref="AG75:AG100" si="25">SUMIF($E$9:$Z$9,"3.1.6 ",$E75:$Z75)</f>
        <v>0</v>
      </c>
      <c r="AH75" s="13">
        <f t="shared" ref="AH75:AH100" si="26">SUMIF($E$9:$Z$9,"3.1.7 ",$E75:$Z75)</f>
        <v>0</v>
      </c>
      <c r="AI75" s="13">
        <f t="shared" ref="AI75:AI100" si="27">SUMIF($E$9:$Z$9,"3.1.8 ",$E75:$Z75)</f>
        <v>0</v>
      </c>
      <c r="AJ75" s="13">
        <f t="shared" ref="AJ75:AJ100" si="28">SUMIF($E$9:$Z$9,"3.1.9 ",$E75:$Z75)</f>
        <v>0</v>
      </c>
      <c r="AK75" s="13">
        <f t="shared" ref="AK75:AK100" si="29">SUMIF($E$9:$Z$9,"3.1.10",$E75:$Z75)</f>
        <v>0</v>
      </c>
      <c r="AL75" s="13">
        <f t="shared" ref="AL75:AL100" si="30">SUMIF($E$9:$Z$9,"3.1.11",$E75:$Z75)</f>
        <v>0</v>
      </c>
      <c r="AM75" s="13">
        <f t="shared" ref="AM75:AM100" si="31">SUMIF($E$9:$Z$9,"3.1.12",$E75:$Z75)</f>
        <v>0</v>
      </c>
      <c r="AO75" s="14">
        <f t="shared" si="17"/>
        <v>0</v>
      </c>
      <c r="AP75" s="14">
        <f t="shared" si="17"/>
        <v>0</v>
      </c>
      <c r="AQ75" s="14">
        <f t="shared" si="17"/>
        <v>0</v>
      </c>
      <c r="AR75" s="14">
        <f t="shared" si="18"/>
        <v>0</v>
      </c>
      <c r="AS75" s="14">
        <f t="shared" si="18"/>
        <v>0</v>
      </c>
      <c r="AT75" s="14">
        <f t="shared" si="18"/>
        <v>0</v>
      </c>
      <c r="AU75" s="14">
        <f t="shared" si="18"/>
        <v>0</v>
      </c>
      <c r="AV75" s="14">
        <f t="shared" si="18"/>
        <v>0</v>
      </c>
      <c r="AW75" s="14">
        <f t="shared" si="18"/>
        <v>0</v>
      </c>
      <c r="AX75" s="14">
        <f t="shared" si="18"/>
        <v>0</v>
      </c>
      <c r="AY75" s="14">
        <f t="shared" si="18"/>
        <v>0</v>
      </c>
      <c r="AZ75" s="14">
        <f t="shared" si="18"/>
        <v>0</v>
      </c>
    </row>
    <row r="76" spans="1:52">
      <c r="A76">
        <f>Grades!A76</f>
        <v>0</v>
      </c>
      <c r="B76">
        <f>Grades!B76</f>
        <v>0</v>
      </c>
      <c r="C76" s="12">
        <f>Grades!C76</f>
        <v>0</v>
      </c>
      <c r="D76" s="13">
        <f t="shared" si="19"/>
        <v>0</v>
      </c>
      <c r="E76" s="13"/>
      <c r="F76" s="13"/>
      <c r="G76" s="13"/>
      <c r="H76" s="13"/>
      <c r="I76" s="13"/>
      <c r="J76" s="13"/>
      <c r="K76" s="13"/>
      <c r="L76" s="13"/>
      <c r="M76" s="13"/>
      <c r="N76" s="13"/>
      <c r="O76" s="13"/>
      <c r="P76" s="13"/>
      <c r="Q76" s="13"/>
      <c r="R76" s="13"/>
      <c r="S76" s="13"/>
      <c r="T76" s="13"/>
      <c r="U76" s="13"/>
      <c r="V76" s="13"/>
      <c r="W76" s="13"/>
      <c r="X76" s="13"/>
      <c r="Y76" s="13"/>
      <c r="Z76" s="13"/>
      <c r="AB76" s="13">
        <f t="shared" si="20"/>
        <v>0</v>
      </c>
      <c r="AC76" s="13">
        <f t="shared" si="21"/>
        <v>0</v>
      </c>
      <c r="AD76" s="13">
        <f t="shared" si="22"/>
        <v>0</v>
      </c>
      <c r="AE76" s="13">
        <f t="shared" si="23"/>
        <v>0</v>
      </c>
      <c r="AF76" s="13">
        <f t="shared" si="24"/>
        <v>0</v>
      </c>
      <c r="AG76" s="13">
        <f t="shared" si="25"/>
        <v>0</v>
      </c>
      <c r="AH76" s="13">
        <f t="shared" si="26"/>
        <v>0</v>
      </c>
      <c r="AI76" s="13">
        <f t="shared" si="27"/>
        <v>0</v>
      </c>
      <c r="AJ76" s="13">
        <f t="shared" si="28"/>
        <v>0</v>
      </c>
      <c r="AK76" s="13">
        <f t="shared" si="29"/>
        <v>0</v>
      </c>
      <c r="AL76" s="13">
        <f t="shared" si="30"/>
        <v>0</v>
      </c>
      <c r="AM76" s="13">
        <f t="shared" si="31"/>
        <v>0</v>
      </c>
      <c r="AO76" s="14">
        <f t="shared" si="17"/>
        <v>0</v>
      </c>
      <c r="AP76" s="14">
        <f t="shared" si="17"/>
        <v>0</v>
      </c>
      <c r="AQ76" s="14">
        <f t="shared" si="17"/>
        <v>0</v>
      </c>
      <c r="AR76" s="14">
        <f t="shared" si="18"/>
        <v>0</v>
      </c>
      <c r="AS76" s="14">
        <f t="shared" si="18"/>
        <v>0</v>
      </c>
      <c r="AT76" s="14">
        <f t="shared" si="18"/>
        <v>0</v>
      </c>
      <c r="AU76" s="14">
        <f t="shared" si="18"/>
        <v>0</v>
      </c>
      <c r="AV76" s="14">
        <f t="shared" si="18"/>
        <v>0</v>
      </c>
      <c r="AW76" s="14">
        <f t="shared" si="18"/>
        <v>0</v>
      </c>
      <c r="AX76" s="14">
        <f t="shared" si="18"/>
        <v>0</v>
      </c>
      <c r="AY76" s="14">
        <f t="shared" si="18"/>
        <v>0</v>
      </c>
      <c r="AZ76" s="14">
        <f t="shared" si="18"/>
        <v>0</v>
      </c>
    </row>
    <row r="77" spans="1:52">
      <c r="A77">
        <f>Grades!A77</f>
        <v>0</v>
      </c>
      <c r="B77">
        <f>Grades!B77</f>
        <v>0</v>
      </c>
      <c r="C77" s="12">
        <f>Grades!C77</f>
        <v>0</v>
      </c>
      <c r="D77" s="13">
        <f t="shared" si="19"/>
        <v>0</v>
      </c>
      <c r="E77" s="13"/>
      <c r="F77" s="13"/>
      <c r="G77" s="13"/>
      <c r="H77" s="13"/>
      <c r="I77" s="13"/>
      <c r="J77" s="13"/>
      <c r="K77" s="13"/>
      <c r="L77" s="13"/>
      <c r="M77" s="13"/>
      <c r="N77" s="13"/>
      <c r="O77" s="13"/>
      <c r="P77" s="13"/>
      <c r="Q77" s="13"/>
      <c r="R77" s="13"/>
      <c r="S77" s="13"/>
      <c r="T77" s="13"/>
      <c r="U77" s="13"/>
      <c r="V77" s="13"/>
      <c r="W77" s="13"/>
      <c r="X77" s="13"/>
      <c r="Y77" s="13"/>
      <c r="Z77" s="13"/>
      <c r="AB77" s="13">
        <f t="shared" si="20"/>
        <v>0</v>
      </c>
      <c r="AC77" s="13">
        <f t="shared" si="21"/>
        <v>0</v>
      </c>
      <c r="AD77" s="13">
        <f t="shared" si="22"/>
        <v>0</v>
      </c>
      <c r="AE77" s="13">
        <f t="shared" si="23"/>
        <v>0</v>
      </c>
      <c r="AF77" s="13">
        <f t="shared" si="24"/>
        <v>0</v>
      </c>
      <c r="AG77" s="13">
        <f t="shared" si="25"/>
        <v>0</v>
      </c>
      <c r="AH77" s="13">
        <f t="shared" si="26"/>
        <v>0</v>
      </c>
      <c r="AI77" s="13">
        <f t="shared" si="27"/>
        <v>0</v>
      </c>
      <c r="AJ77" s="13">
        <f t="shared" si="28"/>
        <v>0</v>
      </c>
      <c r="AK77" s="13">
        <f t="shared" si="29"/>
        <v>0</v>
      </c>
      <c r="AL77" s="13">
        <f t="shared" si="30"/>
        <v>0</v>
      </c>
      <c r="AM77" s="13">
        <f t="shared" si="31"/>
        <v>0</v>
      </c>
      <c r="AO77" s="14">
        <f t="shared" si="17"/>
        <v>0</v>
      </c>
      <c r="AP77" s="14">
        <f t="shared" si="17"/>
        <v>0</v>
      </c>
      <c r="AQ77" s="14">
        <f t="shared" si="17"/>
        <v>0</v>
      </c>
      <c r="AR77" s="14">
        <f t="shared" si="18"/>
        <v>0</v>
      </c>
      <c r="AS77" s="14">
        <f t="shared" si="18"/>
        <v>0</v>
      </c>
      <c r="AT77" s="14">
        <f t="shared" si="18"/>
        <v>0</v>
      </c>
      <c r="AU77" s="14">
        <f t="shared" si="18"/>
        <v>0</v>
      </c>
      <c r="AV77" s="14">
        <f t="shared" si="18"/>
        <v>0</v>
      </c>
      <c r="AW77" s="14">
        <f t="shared" si="18"/>
        <v>0</v>
      </c>
      <c r="AX77" s="14">
        <f t="shared" si="18"/>
        <v>0</v>
      </c>
      <c r="AY77" s="14">
        <f t="shared" si="18"/>
        <v>0</v>
      </c>
      <c r="AZ77" s="14">
        <f t="shared" si="18"/>
        <v>0</v>
      </c>
    </row>
    <row r="78" spans="1:52">
      <c r="A78">
        <f>Grades!A78</f>
        <v>0</v>
      </c>
      <c r="B78">
        <f>Grades!B78</f>
        <v>0</v>
      </c>
      <c r="C78" s="12">
        <f>Grades!C78</f>
        <v>0</v>
      </c>
      <c r="D78" s="13">
        <f t="shared" si="19"/>
        <v>0</v>
      </c>
      <c r="E78" s="13"/>
      <c r="F78" s="13"/>
      <c r="G78" s="13"/>
      <c r="H78" s="13"/>
      <c r="I78" s="13"/>
      <c r="J78" s="13"/>
      <c r="K78" s="13"/>
      <c r="L78" s="13"/>
      <c r="M78" s="13"/>
      <c r="N78" s="13"/>
      <c r="O78" s="13"/>
      <c r="P78" s="13"/>
      <c r="Q78" s="13"/>
      <c r="R78" s="13"/>
      <c r="S78" s="13"/>
      <c r="T78" s="13"/>
      <c r="U78" s="13"/>
      <c r="V78" s="13"/>
      <c r="W78" s="13"/>
      <c r="X78" s="13"/>
      <c r="Y78" s="13"/>
      <c r="Z78" s="13"/>
      <c r="AB78" s="13">
        <f t="shared" si="20"/>
        <v>0</v>
      </c>
      <c r="AC78" s="13">
        <f t="shared" si="21"/>
        <v>0</v>
      </c>
      <c r="AD78" s="13">
        <f t="shared" si="22"/>
        <v>0</v>
      </c>
      <c r="AE78" s="13">
        <f t="shared" si="23"/>
        <v>0</v>
      </c>
      <c r="AF78" s="13">
        <f t="shared" si="24"/>
        <v>0</v>
      </c>
      <c r="AG78" s="13">
        <f t="shared" si="25"/>
        <v>0</v>
      </c>
      <c r="AH78" s="13">
        <f t="shared" si="26"/>
        <v>0</v>
      </c>
      <c r="AI78" s="13">
        <f t="shared" si="27"/>
        <v>0</v>
      </c>
      <c r="AJ78" s="13">
        <f t="shared" si="28"/>
        <v>0</v>
      </c>
      <c r="AK78" s="13">
        <f t="shared" si="29"/>
        <v>0</v>
      </c>
      <c r="AL78" s="13">
        <f t="shared" si="30"/>
        <v>0</v>
      </c>
      <c r="AM78" s="13">
        <f t="shared" si="31"/>
        <v>0</v>
      </c>
      <c r="AO78" s="14">
        <f t="shared" si="17"/>
        <v>0</v>
      </c>
      <c r="AP78" s="14">
        <f t="shared" si="17"/>
        <v>0</v>
      </c>
      <c r="AQ78" s="14">
        <f t="shared" si="17"/>
        <v>0</v>
      </c>
      <c r="AR78" s="14">
        <f t="shared" si="18"/>
        <v>0</v>
      </c>
      <c r="AS78" s="14">
        <f t="shared" si="18"/>
        <v>0</v>
      </c>
      <c r="AT78" s="14">
        <f t="shared" si="18"/>
        <v>0</v>
      </c>
      <c r="AU78" s="14">
        <f t="shared" si="18"/>
        <v>0</v>
      </c>
      <c r="AV78" s="14">
        <f t="shared" si="18"/>
        <v>0</v>
      </c>
      <c r="AW78" s="14">
        <f t="shared" si="18"/>
        <v>0</v>
      </c>
      <c r="AX78" s="14">
        <f t="shared" si="18"/>
        <v>0</v>
      </c>
      <c r="AY78" s="14">
        <f t="shared" si="18"/>
        <v>0</v>
      </c>
      <c r="AZ78" s="14">
        <f t="shared" si="18"/>
        <v>0</v>
      </c>
    </row>
    <row r="79" spans="1:52">
      <c r="A79">
        <f>Grades!A79</f>
        <v>0</v>
      </c>
      <c r="B79">
        <f>Grades!B79</f>
        <v>0</v>
      </c>
      <c r="C79" s="12">
        <f>Grades!C79</f>
        <v>0</v>
      </c>
      <c r="D79" s="13">
        <f t="shared" si="19"/>
        <v>0</v>
      </c>
      <c r="E79" s="13"/>
      <c r="F79" s="13"/>
      <c r="G79" s="13"/>
      <c r="H79" s="13"/>
      <c r="I79" s="13"/>
      <c r="J79" s="13"/>
      <c r="K79" s="13"/>
      <c r="L79" s="13"/>
      <c r="M79" s="13"/>
      <c r="N79" s="13"/>
      <c r="O79" s="13"/>
      <c r="P79" s="13"/>
      <c r="Q79" s="13"/>
      <c r="R79" s="13"/>
      <c r="S79" s="13"/>
      <c r="T79" s="13"/>
      <c r="U79" s="13"/>
      <c r="V79" s="13"/>
      <c r="W79" s="13"/>
      <c r="X79" s="13"/>
      <c r="Y79" s="13"/>
      <c r="Z79" s="13"/>
      <c r="AB79" s="13">
        <f t="shared" si="20"/>
        <v>0</v>
      </c>
      <c r="AC79" s="13">
        <f t="shared" si="21"/>
        <v>0</v>
      </c>
      <c r="AD79" s="13">
        <f t="shared" si="22"/>
        <v>0</v>
      </c>
      <c r="AE79" s="13">
        <f t="shared" si="23"/>
        <v>0</v>
      </c>
      <c r="AF79" s="13">
        <f t="shared" si="24"/>
        <v>0</v>
      </c>
      <c r="AG79" s="13">
        <f t="shared" si="25"/>
        <v>0</v>
      </c>
      <c r="AH79" s="13">
        <f t="shared" si="26"/>
        <v>0</v>
      </c>
      <c r="AI79" s="13">
        <f t="shared" si="27"/>
        <v>0</v>
      </c>
      <c r="AJ79" s="13">
        <f t="shared" si="28"/>
        <v>0</v>
      </c>
      <c r="AK79" s="13">
        <f t="shared" si="29"/>
        <v>0</v>
      </c>
      <c r="AL79" s="13">
        <f t="shared" si="30"/>
        <v>0</v>
      </c>
      <c r="AM79" s="13">
        <f t="shared" si="31"/>
        <v>0</v>
      </c>
      <c r="AO79" s="14">
        <f t="shared" si="17"/>
        <v>0</v>
      </c>
      <c r="AP79" s="14">
        <f t="shared" si="17"/>
        <v>0</v>
      </c>
      <c r="AQ79" s="14">
        <f t="shared" si="17"/>
        <v>0</v>
      </c>
      <c r="AR79" s="14">
        <f t="shared" si="18"/>
        <v>0</v>
      </c>
      <c r="AS79" s="14">
        <f t="shared" si="18"/>
        <v>0</v>
      </c>
      <c r="AT79" s="14">
        <f t="shared" si="18"/>
        <v>0</v>
      </c>
      <c r="AU79" s="14">
        <f t="shared" si="18"/>
        <v>0</v>
      </c>
      <c r="AV79" s="14">
        <f t="shared" si="18"/>
        <v>0</v>
      </c>
      <c r="AW79" s="14">
        <f t="shared" si="18"/>
        <v>0</v>
      </c>
      <c r="AX79" s="14">
        <f t="shared" si="18"/>
        <v>0</v>
      </c>
      <c r="AY79" s="14">
        <f t="shared" si="18"/>
        <v>0</v>
      </c>
      <c r="AZ79" s="14">
        <f t="shared" si="18"/>
        <v>0</v>
      </c>
    </row>
    <row r="80" spans="1:52">
      <c r="A80">
        <f>Grades!A80</f>
        <v>0</v>
      </c>
      <c r="B80">
        <f>Grades!B80</f>
        <v>0</v>
      </c>
      <c r="C80" s="12">
        <f>Grades!C80</f>
        <v>0</v>
      </c>
      <c r="D80" s="13">
        <f t="shared" si="19"/>
        <v>0</v>
      </c>
      <c r="E80" s="13"/>
      <c r="F80" s="13"/>
      <c r="G80" s="13"/>
      <c r="H80" s="13"/>
      <c r="I80" s="13"/>
      <c r="J80" s="13"/>
      <c r="K80" s="13"/>
      <c r="L80" s="13"/>
      <c r="M80" s="13"/>
      <c r="N80" s="13"/>
      <c r="O80" s="13"/>
      <c r="P80" s="13"/>
      <c r="Q80" s="13"/>
      <c r="R80" s="13"/>
      <c r="S80" s="13"/>
      <c r="T80" s="13"/>
      <c r="U80" s="13"/>
      <c r="V80" s="13"/>
      <c r="W80" s="13"/>
      <c r="X80" s="13"/>
      <c r="Y80" s="13"/>
      <c r="Z80" s="13"/>
      <c r="AB80" s="13">
        <f t="shared" si="20"/>
        <v>0</v>
      </c>
      <c r="AC80" s="13">
        <f t="shared" si="21"/>
        <v>0</v>
      </c>
      <c r="AD80" s="13">
        <f t="shared" si="22"/>
        <v>0</v>
      </c>
      <c r="AE80" s="13">
        <f t="shared" si="23"/>
        <v>0</v>
      </c>
      <c r="AF80" s="13">
        <f t="shared" si="24"/>
        <v>0</v>
      </c>
      <c r="AG80" s="13">
        <f t="shared" si="25"/>
        <v>0</v>
      </c>
      <c r="AH80" s="13">
        <f t="shared" si="26"/>
        <v>0</v>
      </c>
      <c r="AI80" s="13">
        <f t="shared" si="27"/>
        <v>0</v>
      </c>
      <c r="AJ80" s="13">
        <f t="shared" si="28"/>
        <v>0</v>
      </c>
      <c r="AK80" s="13">
        <f t="shared" si="29"/>
        <v>0</v>
      </c>
      <c r="AL80" s="13">
        <f t="shared" si="30"/>
        <v>0</v>
      </c>
      <c r="AM80" s="13">
        <f t="shared" si="31"/>
        <v>0</v>
      </c>
      <c r="AO80" s="14">
        <f t="shared" si="17"/>
        <v>0</v>
      </c>
      <c r="AP80" s="14">
        <f t="shared" si="17"/>
        <v>0</v>
      </c>
      <c r="AQ80" s="14">
        <f t="shared" si="17"/>
        <v>0</v>
      </c>
      <c r="AR80" s="14">
        <f t="shared" si="18"/>
        <v>0</v>
      </c>
      <c r="AS80" s="14">
        <f t="shared" si="18"/>
        <v>0</v>
      </c>
      <c r="AT80" s="14">
        <f t="shared" si="18"/>
        <v>0</v>
      </c>
      <c r="AU80" s="14">
        <f t="shared" si="18"/>
        <v>0</v>
      </c>
      <c r="AV80" s="14">
        <f t="shared" si="18"/>
        <v>0</v>
      </c>
      <c r="AW80" s="14">
        <f t="shared" si="18"/>
        <v>0</v>
      </c>
      <c r="AX80" s="14">
        <f t="shared" si="18"/>
        <v>0</v>
      </c>
      <c r="AY80" s="14">
        <f t="shared" si="18"/>
        <v>0</v>
      </c>
      <c r="AZ80" s="14">
        <f t="shared" si="18"/>
        <v>0</v>
      </c>
    </row>
    <row r="81" spans="1:52">
      <c r="A81">
        <f>Grades!A81</f>
        <v>0</v>
      </c>
      <c r="B81">
        <f>Grades!B81</f>
        <v>0</v>
      </c>
      <c r="C81" s="12">
        <f>Grades!C81</f>
        <v>0</v>
      </c>
      <c r="D81" s="13">
        <f t="shared" si="19"/>
        <v>0</v>
      </c>
      <c r="E81" s="13"/>
      <c r="F81" s="13"/>
      <c r="G81" s="13"/>
      <c r="H81" s="13"/>
      <c r="I81" s="13"/>
      <c r="J81" s="13"/>
      <c r="K81" s="13"/>
      <c r="L81" s="13"/>
      <c r="M81" s="13"/>
      <c r="N81" s="13"/>
      <c r="O81" s="13"/>
      <c r="P81" s="13"/>
      <c r="Q81" s="13"/>
      <c r="R81" s="13"/>
      <c r="S81" s="13"/>
      <c r="T81" s="13"/>
      <c r="U81" s="13"/>
      <c r="V81" s="13"/>
      <c r="W81" s="13"/>
      <c r="X81" s="13"/>
      <c r="Y81" s="13"/>
      <c r="Z81" s="13"/>
      <c r="AB81" s="13">
        <f t="shared" si="20"/>
        <v>0</v>
      </c>
      <c r="AC81" s="13">
        <f t="shared" si="21"/>
        <v>0</v>
      </c>
      <c r="AD81" s="13">
        <f t="shared" si="22"/>
        <v>0</v>
      </c>
      <c r="AE81" s="13">
        <f t="shared" si="23"/>
        <v>0</v>
      </c>
      <c r="AF81" s="13">
        <f t="shared" si="24"/>
        <v>0</v>
      </c>
      <c r="AG81" s="13">
        <f t="shared" si="25"/>
        <v>0</v>
      </c>
      <c r="AH81" s="13">
        <f t="shared" si="26"/>
        <v>0</v>
      </c>
      <c r="AI81" s="13">
        <f t="shared" si="27"/>
        <v>0</v>
      </c>
      <c r="AJ81" s="13">
        <f t="shared" si="28"/>
        <v>0</v>
      </c>
      <c r="AK81" s="13">
        <f t="shared" si="29"/>
        <v>0</v>
      </c>
      <c r="AL81" s="13">
        <f t="shared" si="30"/>
        <v>0</v>
      </c>
      <c r="AM81" s="13">
        <f t="shared" si="31"/>
        <v>0</v>
      </c>
      <c r="AO81" s="14">
        <f t="shared" si="17"/>
        <v>0</v>
      </c>
      <c r="AP81" s="14">
        <f t="shared" si="17"/>
        <v>0</v>
      </c>
      <c r="AQ81" s="14">
        <f t="shared" si="17"/>
        <v>0</v>
      </c>
      <c r="AR81" s="14">
        <f t="shared" si="18"/>
        <v>0</v>
      </c>
      <c r="AS81" s="14">
        <f t="shared" si="18"/>
        <v>0</v>
      </c>
      <c r="AT81" s="14">
        <f t="shared" si="18"/>
        <v>0</v>
      </c>
      <c r="AU81" s="14">
        <f t="shared" si="18"/>
        <v>0</v>
      </c>
      <c r="AV81" s="14">
        <f t="shared" si="18"/>
        <v>0</v>
      </c>
      <c r="AW81" s="14">
        <f t="shared" si="18"/>
        <v>0</v>
      </c>
      <c r="AX81" s="14">
        <f t="shared" si="18"/>
        <v>0</v>
      </c>
      <c r="AY81" s="14">
        <f t="shared" si="18"/>
        <v>0</v>
      </c>
      <c r="AZ81" s="14">
        <f t="shared" si="18"/>
        <v>0</v>
      </c>
    </row>
    <row r="82" spans="1:52">
      <c r="A82">
        <f>Grades!A82</f>
        <v>0</v>
      </c>
      <c r="B82">
        <f>Grades!B82</f>
        <v>0</v>
      </c>
      <c r="C82" s="12">
        <f>Grades!C82</f>
        <v>0</v>
      </c>
      <c r="D82" s="13">
        <f t="shared" si="19"/>
        <v>0</v>
      </c>
      <c r="E82" s="13"/>
      <c r="F82" s="13"/>
      <c r="G82" s="13"/>
      <c r="H82" s="13"/>
      <c r="I82" s="13"/>
      <c r="J82" s="13"/>
      <c r="K82" s="13"/>
      <c r="L82" s="13"/>
      <c r="M82" s="13"/>
      <c r="N82" s="13"/>
      <c r="O82" s="13"/>
      <c r="P82" s="13"/>
      <c r="Q82" s="13"/>
      <c r="R82" s="13"/>
      <c r="S82" s="13"/>
      <c r="T82" s="13"/>
      <c r="U82" s="13"/>
      <c r="V82" s="13"/>
      <c r="W82" s="13"/>
      <c r="X82" s="13"/>
      <c r="Y82" s="13"/>
      <c r="Z82" s="13"/>
      <c r="AB82" s="13">
        <f t="shared" si="20"/>
        <v>0</v>
      </c>
      <c r="AC82" s="13">
        <f t="shared" si="21"/>
        <v>0</v>
      </c>
      <c r="AD82" s="13">
        <f t="shared" si="22"/>
        <v>0</v>
      </c>
      <c r="AE82" s="13">
        <f t="shared" si="23"/>
        <v>0</v>
      </c>
      <c r="AF82" s="13">
        <f t="shared" si="24"/>
        <v>0</v>
      </c>
      <c r="AG82" s="13">
        <f t="shared" si="25"/>
        <v>0</v>
      </c>
      <c r="AH82" s="13">
        <f t="shared" si="26"/>
        <v>0</v>
      </c>
      <c r="AI82" s="13">
        <f t="shared" si="27"/>
        <v>0</v>
      </c>
      <c r="AJ82" s="13">
        <f t="shared" si="28"/>
        <v>0</v>
      </c>
      <c r="AK82" s="13">
        <f t="shared" si="29"/>
        <v>0</v>
      </c>
      <c r="AL82" s="13">
        <f t="shared" si="30"/>
        <v>0</v>
      </c>
      <c r="AM82" s="13">
        <f t="shared" si="31"/>
        <v>0</v>
      </c>
      <c r="AO82" s="14">
        <f t="shared" si="17"/>
        <v>0</v>
      </c>
      <c r="AP82" s="14">
        <f t="shared" si="17"/>
        <v>0</v>
      </c>
      <c r="AQ82" s="14">
        <f t="shared" si="17"/>
        <v>0</v>
      </c>
      <c r="AR82" s="14">
        <f t="shared" si="18"/>
        <v>0</v>
      </c>
      <c r="AS82" s="14">
        <f t="shared" si="18"/>
        <v>0</v>
      </c>
      <c r="AT82" s="14">
        <f t="shared" si="18"/>
        <v>0</v>
      </c>
      <c r="AU82" s="14">
        <f t="shared" si="18"/>
        <v>0</v>
      </c>
      <c r="AV82" s="14">
        <f t="shared" si="18"/>
        <v>0</v>
      </c>
      <c r="AW82" s="14">
        <f t="shared" si="18"/>
        <v>0</v>
      </c>
      <c r="AX82" s="14">
        <f t="shared" si="18"/>
        <v>0</v>
      </c>
      <c r="AY82" s="14">
        <f t="shared" si="18"/>
        <v>0</v>
      </c>
      <c r="AZ82" s="14">
        <f t="shared" si="18"/>
        <v>0</v>
      </c>
    </row>
    <row r="83" spans="1:52">
      <c r="A83">
        <f>Grades!A83</f>
        <v>0</v>
      </c>
      <c r="B83">
        <f>Grades!B83</f>
        <v>0</v>
      </c>
      <c r="C83" s="12">
        <f>Grades!C83</f>
        <v>0</v>
      </c>
      <c r="D83" s="13">
        <f t="shared" si="19"/>
        <v>0</v>
      </c>
      <c r="E83" s="13"/>
      <c r="F83" s="13"/>
      <c r="G83" s="13"/>
      <c r="H83" s="13"/>
      <c r="I83" s="13"/>
      <c r="J83" s="13"/>
      <c r="K83" s="13"/>
      <c r="L83" s="13"/>
      <c r="M83" s="13"/>
      <c r="N83" s="13"/>
      <c r="O83" s="13"/>
      <c r="P83" s="13"/>
      <c r="Q83" s="13"/>
      <c r="R83" s="13"/>
      <c r="S83" s="13"/>
      <c r="T83" s="13"/>
      <c r="U83" s="13"/>
      <c r="V83" s="13"/>
      <c r="W83" s="13"/>
      <c r="X83" s="13"/>
      <c r="Y83" s="13"/>
      <c r="Z83" s="13"/>
      <c r="AB83" s="13">
        <f t="shared" si="20"/>
        <v>0</v>
      </c>
      <c r="AC83" s="13">
        <f t="shared" si="21"/>
        <v>0</v>
      </c>
      <c r="AD83" s="13">
        <f t="shared" si="22"/>
        <v>0</v>
      </c>
      <c r="AE83" s="13">
        <f t="shared" si="23"/>
        <v>0</v>
      </c>
      <c r="AF83" s="13">
        <f t="shared" si="24"/>
        <v>0</v>
      </c>
      <c r="AG83" s="13">
        <f t="shared" si="25"/>
        <v>0</v>
      </c>
      <c r="AH83" s="13">
        <f t="shared" si="26"/>
        <v>0</v>
      </c>
      <c r="AI83" s="13">
        <f t="shared" si="27"/>
        <v>0</v>
      </c>
      <c r="AJ83" s="13">
        <f t="shared" si="28"/>
        <v>0</v>
      </c>
      <c r="AK83" s="13">
        <f t="shared" si="29"/>
        <v>0</v>
      </c>
      <c r="AL83" s="13">
        <f t="shared" si="30"/>
        <v>0</v>
      </c>
      <c r="AM83" s="13">
        <f t="shared" si="31"/>
        <v>0</v>
      </c>
      <c r="AO83" s="14">
        <f t="shared" si="17"/>
        <v>0</v>
      </c>
      <c r="AP83" s="14">
        <f t="shared" si="17"/>
        <v>0</v>
      </c>
      <c r="AQ83" s="14">
        <f t="shared" si="17"/>
        <v>0</v>
      </c>
      <c r="AR83" s="14">
        <f t="shared" si="18"/>
        <v>0</v>
      </c>
      <c r="AS83" s="14">
        <f t="shared" si="18"/>
        <v>0</v>
      </c>
      <c r="AT83" s="14">
        <f t="shared" si="18"/>
        <v>0</v>
      </c>
      <c r="AU83" s="14">
        <f t="shared" si="18"/>
        <v>0</v>
      </c>
      <c r="AV83" s="14">
        <f t="shared" si="18"/>
        <v>0</v>
      </c>
      <c r="AW83" s="14">
        <f t="shared" si="18"/>
        <v>0</v>
      </c>
      <c r="AX83" s="14">
        <f t="shared" si="18"/>
        <v>0</v>
      </c>
      <c r="AY83" s="14">
        <f t="shared" si="18"/>
        <v>0</v>
      </c>
      <c r="AZ83" s="14">
        <f t="shared" si="18"/>
        <v>0</v>
      </c>
    </row>
    <row r="84" spans="1:52">
      <c r="A84">
        <f>Grades!A84</f>
        <v>0</v>
      </c>
      <c r="B84">
        <f>Grades!B84</f>
        <v>0</v>
      </c>
      <c r="C84" s="12">
        <f>Grades!C84</f>
        <v>0</v>
      </c>
      <c r="D84" s="13">
        <f t="shared" si="19"/>
        <v>0</v>
      </c>
      <c r="E84" s="13"/>
      <c r="F84" s="13"/>
      <c r="G84" s="13"/>
      <c r="H84" s="13"/>
      <c r="I84" s="13"/>
      <c r="J84" s="13"/>
      <c r="K84" s="13"/>
      <c r="L84" s="13"/>
      <c r="M84" s="13"/>
      <c r="N84" s="13"/>
      <c r="O84" s="13"/>
      <c r="P84" s="13"/>
      <c r="Q84" s="13"/>
      <c r="R84" s="13"/>
      <c r="S84" s="13"/>
      <c r="T84" s="13"/>
      <c r="U84" s="13"/>
      <c r="V84" s="13"/>
      <c r="W84" s="13"/>
      <c r="X84" s="13"/>
      <c r="Y84" s="13"/>
      <c r="Z84" s="13"/>
      <c r="AB84" s="13">
        <f t="shared" si="20"/>
        <v>0</v>
      </c>
      <c r="AC84" s="13">
        <f t="shared" si="21"/>
        <v>0</v>
      </c>
      <c r="AD84" s="13">
        <f t="shared" si="22"/>
        <v>0</v>
      </c>
      <c r="AE84" s="13">
        <f t="shared" si="23"/>
        <v>0</v>
      </c>
      <c r="AF84" s="13">
        <f t="shared" si="24"/>
        <v>0</v>
      </c>
      <c r="AG84" s="13">
        <f t="shared" si="25"/>
        <v>0</v>
      </c>
      <c r="AH84" s="13">
        <f t="shared" si="26"/>
        <v>0</v>
      </c>
      <c r="AI84" s="13">
        <f t="shared" si="27"/>
        <v>0</v>
      </c>
      <c r="AJ84" s="13">
        <f t="shared" si="28"/>
        <v>0</v>
      </c>
      <c r="AK84" s="13">
        <f t="shared" si="29"/>
        <v>0</v>
      </c>
      <c r="AL84" s="13">
        <f t="shared" si="30"/>
        <v>0</v>
      </c>
      <c r="AM84" s="13">
        <f t="shared" si="31"/>
        <v>0</v>
      </c>
      <c r="AO84" s="14">
        <f t="shared" si="17"/>
        <v>0</v>
      </c>
      <c r="AP84" s="14">
        <f t="shared" si="17"/>
        <v>0</v>
      </c>
      <c r="AQ84" s="14">
        <f t="shared" si="17"/>
        <v>0</v>
      </c>
      <c r="AR84" s="14">
        <f t="shared" si="18"/>
        <v>0</v>
      </c>
      <c r="AS84" s="14">
        <f t="shared" si="18"/>
        <v>0</v>
      </c>
      <c r="AT84" s="14">
        <f t="shared" si="18"/>
        <v>0</v>
      </c>
      <c r="AU84" s="14">
        <f t="shared" si="18"/>
        <v>0</v>
      </c>
      <c r="AV84" s="14">
        <f t="shared" si="18"/>
        <v>0</v>
      </c>
      <c r="AW84" s="14">
        <f t="shared" si="18"/>
        <v>0</v>
      </c>
      <c r="AX84" s="14">
        <f t="shared" si="18"/>
        <v>0</v>
      </c>
      <c r="AY84" s="14">
        <f t="shared" si="18"/>
        <v>0</v>
      </c>
      <c r="AZ84" s="14">
        <f t="shared" si="18"/>
        <v>0</v>
      </c>
    </row>
    <row r="85" spans="1:52">
      <c r="A85">
        <f>Grades!A85</f>
        <v>0</v>
      </c>
      <c r="B85">
        <f>Grades!B85</f>
        <v>0</v>
      </c>
      <c r="C85" s="12">
        <f>Grades!C85</f>
        <v>0</v>
      </c>
      <c r="D85" s="13">
        <f t="shared" si="19"/>
        <v>0</v>
      </c>
      <c r="E85" s="13"/>
      <c r="F85" s="13"/>
      <c r="G85" s="13"/>
      <c r="H85" s="13"/>
      <c r="I85" s="13"/>
      <c r="J85" s="13"/>
      <c r="K85" s="13"/>
      <c r="L85" s="13"/>
      <c r="M85" s="13"/>
      <c r="N85" s="13"/>
      <c r="O85" s="13"/>
      <c r="P85" s="13"/>
      <c r="Q85" s="13"/>
      <c r="R85" s="13"/>
      <c r="S85" s="13"/>
      <c r="T85" s="13"/>
      <c r="U85" s="13"/>
      <c r="V85" s="13"/>
      <c r="W85" s="13"/>
      <c r="X85" s="13"/>
      <c r="Y85" s="13"/>
      <c r="Z85" s="13"/>
      <c r="AB85" s="13">
        <f t="shared" si="20"/>
        <v>0</v>
      </c>
      <c r="AC85" s="13">
        <f t="shared" si="21"/>
        <v>0</v>
      </c>
      <c r="AD85" s="13">
        <f t="shared" si="22"/>
        <v>0</v>
      </c>
      <c r="AE85" s="13">
        <f t="shared" si="23"/>
        <v>0</v>
      </c>
      <c r="AF85" s="13">
        <f t="shared" si="24"/>
        <v>0</v>
      </c>
      <c r="AG85" s="13">
        <f t="shared" si="25"/>
        <v>0</v>
      </c>
      <c r="AH85" s="13">
        <f t="shared" si="26"/>
        <v>0</v>
      </c>
      <c r="AI85" s="13">
        <f t="shared" si="27"/>
        <v>0</v>
      </c>
      <c r="AJ85" s="13">
        <f t="shared" si="28"/>
        <v>0</v>
      </c>
      <c r="AK85" s="13">
        <f t="shared" si="29"/>
        <v>0</v>
      </c>
      <c r="AL85" s="13">
        <f t="shared" si="30"/>
        <v>0</v>
      </c>
      <c r="AM85" s="13">
        <f t="shared" si="31"/>
        <v>0</v>
      </c>
      <c r="AO85" s="14">
        <f t="shared" si="17"/>
        <v>0</v>
      </c>
      <c r="AP85" s="14">
        <f t="shared" si="17"/>
        <v>0</v>
      </c>
      <c r="AQ85" s="14">
        <f t="shared" si="17"/>
        <v>0</v>
      </c>
      <c r="AR85" s="14">
        <f t="shared" si="18"/>
        <v>0</v>
      </c>
      <c r="AS85" s="14">
        <f t="shared" si="18"/>
        <v>0</v>
      </c>
      <c r="AT85" s="14">
        <f t="shared" si="18"/>
        <v>0</v>
      </c>
      <c r="AU85" s="14">
        <f t="shared" si="18"/>
        <v>0</v>
      </c>
      <c r="AV85" s="14">
        <f t="shared" si="18"/>
        <v>0</v>
      </c>
      <c r="AW85" s="14">
        <f t="shared" si="18"/>
        <v>0</v>
      </c>
      <c r="AX85" s="14">
        <f t="shared" si="18"/>
        <v>0</v>
      </c>
      <c r="AY85" s="14">
        <f t="shared" si="18"/>
        <v>0</v>
      </c>
      <c r="AZ85" s="14">
        <f t="shared" si="18"/>
        <v>0</v>
      </c>
    </row>
    <row r="86" spans="1:52">
      <c r="A86">
        <f>Grades!A86</f>
        <v>0</v>
      </c>
      <c r="B86">
        <f>Grades!B86</f>
        <v>0</v>
      </c>
      <c r="C86" s="12">
        <f>Grades!C86</f>
        <v>0</v>
      </c>
      <c r="D86" s="13">
        <f t="shared" si="19"/>
        <v>0</v>
      </c>
      <c r="E86" s="13"/>
      <c r="F86" s="13"/>
      <c r="G86" s="13"/>
      <c r="H86" s="13"/>
      <c r="I86" s="13"/>
      <c r="J86" s="13"/>
      <c r="K86" s="13"/>
      <c r="L86" s="13"/>
      <c r="M86" s="13"/>
      <c r="N86" s="13"/>
      <c r="O86" s="13"/>
      <c r="P86" s="13"/>
      <c r="Q86" s="13"/>
      <c r="R86" s="13"/>
      <c r="S86" s="13"/>
      <c r="T86" s="13"/>
      <c r="U86" s="13"/>
      <c r="V86" s="13"/>
      <c r="W86" s="13"/>
      <c r="X86" s="13"/>
      <c r="Y86" s="13"/>
      <c r="Z86" s="13"/>
      <c r="AB86" s="13">
        <f t="shared" si="20"/>
        <v>0</v>
      </c>
      <c r="AC86" s="13">
        <f t="shared" si="21"/>
        <v>0</v>
      </c>
      <c r="AD86" s="13">
        <f t="shared" si="22"/>
        <v>0</v>
      </c>
      <c r="AE86" s="13">
        <f t="shared" si="23"/>
        <v>0</v>
      </c>
      <c r="AF86" s="13">
        <f t="shared" si="24"/>
        <v>0</v>
      </c>
      <c r="AG86" s="13">
        <f t="shared" si="25"/>
        <v>0</v>
      </c>
      <c r="AH86" s="13">
        <f t="shared" si="26"/>
        <v>0</v>
      </c>
      <c r="AI86" s="13">
        <f t="shared" si="27"/>
        <v>0</v>
      </c>
      <c r="AJ86" s="13">
        <f t="shared" si="28"/>
        <v>0</v>
      </c>
      <c r="AK86" s="13">
        <f t="shared" si="29"/>
        <v>0</v>
      </c>
      <c r="AL86" s="13">
        <f t="shared" si="30"/>
        <v>0</v>
      </c>
      <c r="AM86" s="13">
        <f t="shared" si="31"/>
        <v>0</v>
      </c>
      <c r="AO86" s="14">
        <f t="shared" si="17"/>
        <v>0</v>
      </c>
      <c r="AP86" s="14">
        <f t="shared" si="17"/>
        <v>0</v>
      </c>
      <c r="AQ86" s="14">
        <f t="shared" si="17"/>
        <v>0</v>
      </c>
      <c r="AR86" s="14">
        <f t="shared" si="18"/>
        <v>0</v>
      </c>
      <c r="AS86" s="14">
        <f t="shared" si="18"/>
        <v>0</v>
      </c>
      <c r="AT86" s="14">
        <f t="shared" si="18"/>
        <v>0</v>
      </c>
      <c r="AU86" s="14">
        <f t="shared" si="18"/>
        <v>0</v>
      </c>
      <c r="AV86" s="14">
        <f t="shared" si="18"/>
        <v>0</v>
      </c>
      <c r="AW86" s="14">
        <f t="shared" si="18"/>
        <v>0</v>
      </c>
      <c r="AX86" s="14">
        <f t="shared" si="18"/>
        <v>0</v>
      </c>
      <c r="AY86" s="14">
        <f t="shared" si="18"/>
        <v>0</v>
      </c>
      <c r="AZ86" s="14">
        <f t="shared" si="18"/>
        <v>0</v>
      </c>
    </row>
    <row r="87" spans="1:52">
      <c r="A87">
        <f>Grades!A87</f>
        <v>0</v>
      </c>
      <c r="B87">
        <f>Grades!B87</f>
        <v>0</v>
      </c>
      <c r="C87" s="12">
        <f>Grades!C87</f>
        <v>0</v>
      </c>
      <c r="D87" s="13">
        <f t="shared" si="19"/>
        <v>0</v>
      </c>
      <c r="E87" s="13"/>
      <c r="F87" s="13"/>
      <c r="G87" s="13"/>
      <c r="H87" s="13"/>
      <c r="I87" s="13"/>
      <c r="J87" s="13"/>
      <c r="K87" s="13"/>
      <c r="L87" s="13"/>
      <c r="M87" s="13"/>
      <c r="N87" s="13"/>
      <c r="O87" s="13"/>
      <c r="P87" s="13"/>
      <c r="Q87" s="13"/>
      <c r="R87" s="13"/>
      <c r="S87" s="13"/>
      <c r="T87" s="13"/>
      <c r="U87" s="13"/>
      <c r="V87" s="13"/>
      <c r="W87" s="13"/>
      <c r="X87" s="13"/>
      <c r="Y87" s="13"/>
      <c r="Z87" s="13"/>
      <c r="AB87" s="13">
        <f t="shared" si="20"/>
        <v>0</v>
      </c>
      <c r="AC87" s="13">
        <f t="shared" si="21"/>
        <v>0</v>
      </c>
      <c r="AD87" s="13">
        <f t="shared" si="22"/>
        <v>0</v>
      </c>
      <c r="AE87" s="13">
        <f t="shared" si="23"/>
        <v>0</v>
      </c>
      <c r="AF87" s="13">
        <f t="shared" si="24"/>
        <v>0</v>
      </c>
      <c r="AG87" s="13">
        <f t="shared" si="25"/>
        <v>0</v>
      </c>
      <c r="AH87" s="13">
        <f t="shared" si="26"/>
        <v>0</v>
      </c>
      <c r="AI87" s="13">
        <f t="shared" si="27"/>
        <v>0</v>
      </c>
      <c r="AJ87" s="13">
        <f t="shared" si="28"/>
        <v>0</v>
      </c>
      <c r="AK87" s="13">
        <f t="shared" si="29"/>
        <v>0</v>
      </c>
      <c r="AL87" s="13">
        <f t="shared" si="30"/>
        <v>0</v>
      </c>
      <c r="AM87" s="13">
        <f t="shared" si="31"/>
        <v>0</v>
      </c>
      <c r="AO87" s="14">
        <f t="shared" si="17"/>
        <v>0</v>
      </c>
      <c r="AP87" s="14">
        <f t="shared" si="17"/>
        <v>0</v>
      </c>
      <c r="AQ87" s="14">
        <f t="shared" si="17"/>
        <v>0</v>
      </c>
      <c r="AR87" s="14">
        <f t="shared" si="18"/>
        <v>0</v>
      </c>
      <c r="AS87" s="14">
        <f t="shared" si="18"/>
        <v>0</v>
      </c>
      <c r="AT87" s="14">
        <f t="shared" si="18"/>
        <v>0</v>
      </c>
      <c r="AU87" s="14">
        <f t="shared" si="18"/>
        <v>0</v>
      </c>
      <c r="AV87" s="14">
        <f t="shared" si="18"/>
        <v>0</v>
      </c>
      <c r="AW87" s="14">
        <f t="shared" si="18"/>
        <v>0</v>
      </c>
      <c r="AX87" s="14">
        <f t="shared" si="18"/>
        <v>0</v>
      </c>
      <c r="AY87" s="14">
        <f t="shared" si="18"/>
        <v>0</v>
      </c>
      <c r="AZ87" s="14">
        <f t="shared" si="18"/>
        <v>0</v>
      </c>
    </row>
    <row r="88" spans="1:52">
      <c r="A88">
        <f>Grades!A88</f>
        <v>0</v>
      </c>
      <c r="B88">
        <f>Grades!B88</f>
        <v>0</v>
      </c>
      <c r="C88" s="12">
        <f>Grades!C88</f>
        <v>0</v>
      </c>
      <c r="D88" s="13">
        <f t="shared" si="19"/>
        <v>0</v>
      </c>
      <c r="E88" s="13"/>
      <c r="F88" s="13"/>
      <c r="G88" s="13"/>
      <c r="H88" s="13"/>
      <c r="I88" s="13"/>
      <c r="J88" s="13"/>
      <c r="K88" s="13"/>
      <c r="L88" s="13"/>
      <c r="M88" s="13"/>
      <c r="N88" s="13"/>
      <c r="O88" s="13"/>
      <c r="P88" s="13"/>
      <c r="Q88" s="13"/>
      <c r="R88" s="13"/>
      <c r="S88" s="13"/>
      <c r="T88" s="13"/>
      <c r="U88" s="13"/>
      <c r="V88" s="13"/>
      <c r="W88" s="13"/>
      <c r="X88" s="13"/>
      <c r="Y88" s="13"/>
      <c r="Z88" s="13"/>
      <c r="AB88" s="13">
        <f t="shared" si="20"/>
        <v>0</v>
      </c>
      <c r="AC88" s="13">
        <f t="shared" si="21"/>
        <v>0</v>
      </c>
      <c r="AD88" s="13">
        <f t="shared" si="22"/>
        <v>0</v>
      </c>
      <c r="AE88" s="13">
        <f t="shared" si="23"/>
        <v>0</v>
      </c>
      <c r="AF88" s="13">
        <f t="shared" si="24"/>
        <v>0</v>
      </c>
      <c r="AG88" s="13">
        <f t="shared" si="25"/>
        <v>0</v>
      </c>
      <c r="AH88" s="13">
        <f t="shared" si="26"/>
        <v>0</v>
      </c>
      <c r="AI88" s="13">
        <f t="shared" si="27"/>
        <v>0</v>
      </c>
      <c r="AJ88" s="13">
        <f t="shared" si="28"/>
        <v>0</v>
      </c>
      <c r="AK88" s="13">
        <f t="shared" si="29"/>
        <v>0</v>
      </c>
      <c r="AL88" s="13">
        <f t="shared" si="30"/>
        <v>0</v>
      </c>
      <c r="AM88" s="13">
        <f t="shared" si="31"/>
        <v>0</v>
      </c>
      <c r="AO88" s="14">
        <f t="shared" si="17"/>
        <v>0</v>
      </c>
      <c r="AP88" s="14">
        <f t="shared" si="17"/>
        <v>0</v>
      </c>
      <c r="AQ88" s="14">
        <f t="shared" si="17"/>
        <v>0</v>
      </c>
      <c r="AR88" s="14">
        <f t="shared" si="18"/>
        <v>0</v>
      </c>
      <c r="AS88" s="14">
        <f t="shared" si="18"/>
        <v>0</v>
      </c>
      <c r="AT88" s="14">
        <f t="shared" si="18"/>
        <v>0</v>
      </c>
      <c r="AU88" s="14">
        <f t="shared" si="18"/>
        <v>0</v>
      </c>
      <c r="AV88" s="14">
        <f t="shared" si="18"/>
        <v>0</v>
      </c>
      <c r="AW88" s="14">
        <f t="shared" si="18"/>
        <v>0</v>
      </c>
      <c r="AX88" s="14">
        <f t="shared" si="18"/>
        <v>0</v>
      </c>
      <c r="AY88" s="14">
        <f t="shared" si="18"/>
        <v>0</v>
      </c>
      <c r="AZ88" s="14">
        <f t="shared" si="18"/>
        <v>0</v>
      </c>
    </row>
    <row r="89" spans="1:52">
      <c r="A89">
        <f>Grades!A89</f>
        <v>0</v>
      </c>
      <c r="B89">
        <f>Grades!B89</f>
        <v>0</v>
      </c>
      <c r="C89" s="12">
        <f>Grades!C89</f>
        <v>0</v>
      </c>
      <c r="D89" s="13">
        <f t="shared" si="19"/>
        <v>0</v>
      </c>
      <c r="E89" s="13"/>
      <c r="F89" s="13"/>
      <c r="G89" s="13"/>
      <c r="H89" s="13"/>
      <c r="I89" s="13"/>
      <c r="J89" s="13"/>
      <c r="K89" s="13"/>
      <c r="L89" s="13"/>
      <c r="M89" s="13"/>
      <c r="N89" s="13"/>
      <c r="O89" s="13"/>
      <c r="P89" s="13"/>
      <c r="Q89" s="13"/>
      <c r="R89" s="13"/>
      <c r="S89" s="13"/>
      <c r="T89" s="13"/>
      <c r="U89" s="13"/>
      <c r="V89" s="13"/>
      <c r="W89" s="13"/>
      <c r="X89" s="13"/>
      <c r="Y89" s="13"/>
      <c r="Z89" s="13"/>
      <c r="AB89" s="13">
        <f t="shared" si="20"/>
        <v>0</v>
      </c>
      <c r="AC89" s="13">
        <f t="shared" si="21"/>
        <v>0</v>
      </c>
      <c r="AD89" s="13">
        <f t="shared" si="22"/>
        <v>0</v>
      </c>
      <c r="AE89" s="13">
        <f t="shared" si="23"/>
        <v>0</v>
      </c>
      <c r="AF89" s="13">
        <f t="shared" si="24"/>
        <v>0</v>
      </c>
      <c r="AG89" s="13">
        <f t="shared" si="25"/>
        <v>0</v>
      </c>
      <c r="AH89" s="13">
        <f t="shared" si="26"/>
        <v>0</v>
      </c>
      <c r="AI89" s="13">
        <f t="shared" si="27"/>
        <v>0</v>
      </c>
      <c r="AJ89" s="13">
        <f t="shared" si="28"/>
        <v>0</v>
      </c>
      <c r="AK89" s="13">
        <f t="shared" si="29"/>
        <v>0</v>
      </c>
      <c r="AL89" s="13">
        <f t="shared" si="30"/>
        <v>0</v>
      </c>
      <c r="AM89" s="13">
        <f t="shared" si="31"/>
        <v>0</v>
      </c>
      <c r="AO89" s="14">
        <f t="shared" si="17"/>
        <v>0</v>
      </c>
      <c r="AP89" s="14">
        <f t="shared" si="17"/>
        <v>0</v>
      </c>
      <c r="AQ89" s="14">
        <f t="shared" si="17"/>
        <v>0</v>
      </c>
      <c r="AR89" s="14">
        <f t="shared" si="18"/>
        <v>0</v>
      </c>
      <c r="AS89" s="14">
        <f t="shared" si="18"/>
        <v>0</v>
      </c>
      <c r="AT89" s="14">
        <f t="shared" si="18"/>
        <v>0</v>
      </c>
      <c r="AU89" s="14">
        <f t="shared" si="18"/>
        <v>0</v>
      </c>
      <c r="AV89" s="14">
        <f t="shared" si="18"/>
        <v>0</v>
      </c>
      <c r="AW89" s="14">
        <f t="shared" si="18"/>
        <v>0</v>
      </c>
      <c r="AX89" s="14">
        <f t="shared" si="18"/>
        <v>0</v>
      </c>
      <c r="AY89" s="14">
        <f t="shared" si="18"/>
        <v>0</v>
      </c>
      <c r="AZ89" s="14">
        <f t="shared" si="18"/>
        <v>0</v>
      </c>
    </row>
    <row r="90" spans="1:52">
      <c r="A90">
        <f>Grades!A90</f>
        <v>0</v>
      </c>
      <c r="B90">
        <f>Grades!B90</f>
        <v>0</v>
      </c>
      <c r="C90" s="12">
        <f>Grades!C90</f>
        <v>0</v>
      </c>
      <c r="D90" s="13">
        <f t="shared" si="19"/>
        <v>0</v>
      </c>
      <c r="E90" s="13"/>
      <c r="F90" s="13"/>
      <c r="G90" s="13"/>
      <c r="H90" s="13"/>
      <c r="I90" s="13"/>
      <c r="J90" s="13"/>
      <c r="K90" s="13"/>
      <c r="L90" s="13"/>
      <c r="M90" s="13"/>
      <c r="N90" s="13"/>
      <c r="O90" s="13"/>
      <c r="P90" s="13"/>
      <c r="Q90" s="13"/>
      <c r="R90" s="13"/>
      <c r="S90" s="13"/>
      <c r="T90" s="13"/>
      <c r="U90" s="13"/>
      <c r="V90" s="13"/>
      <c r="W90" s="13"/>
      <c r="X90" s="13"/>
      <c r="Y90" s="13"/>
      <c r="Z90" s="13"/>
      <c r="AB90" s="13">
        <f t="shared" si="20"/>
        <v>0</v>
      </c>
      <c r="AC90" s="13">
        <f t="shared" si="21"/>
        <v>0</v>
      </c>
      <c r="AD90" s="13">
        <f t="shared" si="22"/>
        <v>0</v>
      </c>
      <c r="AE90" s="13">
        <f t="shared" si="23"/>
        <v>0</v>
      </c>
      <c r="AF90" s="13">
        <f t="shared" si="24"/>
        <v>0</v>
      </c>
      <c r="AG90" s="13">
        <f t="shared" si="25"/>
        <v>0</v>
      </c>
      <c r="AH90" s="13">
        <f t="shared" si="26"/>
        <v>0</v>
      </c>
      <c r="AI90" s="13">
        <f t="shared" si="27"/>
        <v>0</v>
      </c>
      <c r="AJ90" s="13">
        <f t="shared" si="28"/>
        <v>0</v>
      </c>
      <c r="AK90" s="13">
        <f t="shared" si="29"/>
        <v>0</v>
      </c>
      <c r="AL90" s="13">
        <f t="shared" si="30"/>
        <v>0</v>
      </c>
      <c r="AM90" s="13">
        <f t="shared" si="31"/>
        <v>0</v>
      </c>
      <c r="AO90" s="14">
        <f t="shared" si="17"/>
        <v>0</v>
      </c>
      <c r="AP90" s="14">
        <f t="shared" si="17"/>
        <v>0</v>
      </c>
      <c r="AQ90" s="14">
        <f t="shared" si="17"/>
        <v>0</v>
      </c>
      <c r="AR90" s="14">
        <f t="shared" si="18"/>
        <v>0</v>
      </c>
      <c r="AS90" s="14">
        <f t="shared" si="18"/>
        <v>0</v>
      </c>
      <c r="AT90" s="14">
        <f t="shared" si="18"/>
        <v>0</v>
      </c>
      <c r="AU90" s="14">
        <f t="shared" si="18"/>
        <v>0</v>
      </c>
      <c r="AV90" s="14">
        <f t="shared" si="18"/>
        <v>0</v>
      </c>
      <c r="AW90" s="14">
        <f t="shared" si="18"/>
        <v>0</v>
      </c>
      <c r="AX90" s="14">
        <f t="shared" si="18"/>
        <v>0</v>
      </c>
      <c r="AY90" s="14">
        <f t="shared" si="18"/>
        <v>0</v>
      </c>
      <c r="AZ90" s="14">
        <f t="shared" si="18"/>
        <v>0</v>
      </c>
    </row>
    <row r="91" spans="1:52">
      <c r="A91">
        <f>Grades!A91</f>
        <v>0</v>
      </c>
      <c r="B91">
        <f>Grades!B91</f>
        <v>0</v>
      </c>
      <c r="C91" s="12">
        <f>Grades!C91</f>
        <v>0</v>
      </c>
      <c r="D91" s="13">
        <f t="shared" si="19"/>
        <v>0</v>
      </c>
      <c r="E91" s="13"/>
      <c r="F91" s="13"/>
      <c r="G91" s="13"/>
      <c r="H91" s="13"/>
      <c r="I91" s="13"/>
      <c r="J91" s="13"/>
      <c r="K91" s="13"/>
      <c r="L91" s="13"/>
      <c r="M91" s="13"/>
      <c r="N91" s="13"/>
      <c r="O91" s="13"/>
      <c r="P91" s="13"/>
      <c r="Q91" s="13"/>
      <c r="R91" s="13"/>
      <c r="S91" s="13"/>
      <c r="T91" s="13"/>
      <c r="U91" s="13"/>
      <c r="V91" s="13"/>
      <c r="W91" s="13"/>
      <c r="X91" s="13"/>
      <c r="Y91" s="13"/>
      <c r="Z91" s="13"/>
      <c r="AB91" s="13">
        <f t="shared" si="20"/>
        <v>0</v>
      </c>
      <c r="AC91" s="13">
        <f t="shared" si="21"/>
        <v>0</v>
      </c>
      <c r="AD91" s="13">
        <f t="shared" si="22"/>
        <v>0</v>
      </c>
      <c r="AE91" s="13">
        <f t="shared" si="23"/>
        <v>0</v>
      </c>
      <c r="AF91" s="13">
        <f t="shared" si="24"/>
        <v>0</v>
      </c>
      <c r="AG91" s="13">
        <f t="shared" si="25"/>
        <v>0</v>
      </c>
      <c r="AH91" s="13">
        <f t="shared" si="26"/>
        <v>0</v>
      </c>
      <c r="AI91" s="13">
        <f t="shared" si="27"/>
        <v>0</v>
      </c>
      <c r="AJ91" s="13">
        <f t="shared" si="28"/>
        <v>0</v>
      </c>
      <c r="AK91" s="13">
        <f t="shared" si="29"/>
        <v>0</v>
      </c>
      <c r="AL91" s="13">
        <f t="shared" si="30"/>
        <v>0</v>
      </c>
      <c r="AM91" s="13">
        <f t="shared" si="31"/>
        <v>0</v>
      </c>
      <c r="AO91" s="14">
        <f t="shared" si="17"/>
        <v>0</v>
      </c>
      <c r="AP91" s="14">
        <f t="shared" si="17"/>
        <v>0</v>
      </c>
      <c r="AQ91" s="14">
        <f t="shared" si="17"/>
        <v>0</v>
      </c>
      <c r="AR91" s="14">
        <f t="shared" si="18"/>
        <v>0</v>
      </c>
      <c r="AS91" s="14">
        <f t="shared" si="18"/>
        <v>0</v>
      </c>
      <c r="AT91" s="14">
        <f t="shared" si="18"/>
        <v>0</v>
      </c>
      <c r="AU91" s="14">
        <f t="shared" si="18"/>
        <v>0</v>
      </c>
      <c r="AV91" s="14">
        <f t="shared" si="18"/>
        <v>0</v>
      </c>
      <c r="AW91" s="14">
        <f t="shared" si="18"/>
        <v>0</v>
      </c>
      <c r="AX91" s="14">
        <f t="shared" si="18"/>
        <v>0</v>
      </c>
      <c r="AY91" s="14">
        <f t="shared" si="18"/>
        <v>0</v>
      </c>
      <c r="AZ91" s="14">
        <f t="shared" si="18"/>
        <v>0</v>
      </c>
    </row>
    <row r="92" spans="1:52">
      <c r="A92">
        <f>Grades!A92</f>
        <v>0</v>
      </c>
      <c r="B92">
        <f>Grades!B92</f>
        <v>0</v>
      </c>
      <c r="C92" s="12">
        <f>Grades!C92</f>
        <v>0</v>
      </c>
      <c r="D92" s="13">
        <f t="shared" si="19"/>
        <v>0</v>
      </c>
      <c r="E92" s="13"/>
      <c r="F92" s="13"/>
      <c r="G92" s="13"/>
      <c r="H92" s="13"/>
      <c r="I92" s="13"/>
      <c r="J92" s="13"/>
      <c r="K92" s="13"/>
      <c r="L92" s="13"/>
      <c r="M92" s="13"/>
      <c r="N92" s="13"/>
      <c r="O92" s="13"/>
      <c r="P92" s="13"/>
      <c r="Q92" s="13"/>
      <c r="R92" s="13"/>
      <c r="S92" s="13"/>
      <c r="T92" s="13"/>
      <c r="U92" s="13"/>
      <c r="V92" s="13"/>
      <c r="W92" s="13"/>
      <c r="X92" s="13"/>
      <c r="Y92" s="13"/>
      <c r="Z92" s="13"/>
      <c r="AB92" s="13">
        <f t="shared" si="20"/>
        <v>0</v>
      </c>
      <c r="AC92" s="13">
        <f t="shared" si="21"/>
        <v>0</v>
      </c>
      <c r="AD92" s="13">
        <f t="shared" si="22"/>
        <v>0</v>
      </c>
      <c r="AE92" s="13">
        <f t="shared" si="23"/>
        <v>0</v>
      </c>
      <c r="AF92" s="13">
        <f t="shared" si="24"/>
        <v>0</v>
      </c>
      <c r="AG92" s="13">
        <f t="shared" si="25"/>
        <v>0</v>
      </c>
      <c r="AH92" s="13">
        <f t="shared" si="26"/>
        <v>0</v>
      </c>
      <c r="AI92" s="13">
        <f t="shared" si="27"/>
        <v>0</v>
      </c>
      <c r="AJ92" s="13">
        <f t="shared" si="28"/>
        <v>0</v>
      </c>
      <c r="AK92" s="13">
        <f t="shared" si="29"/>
        <v>0</v>
      </c>
      <c r="AL92" s="13">
        <f t="shared" si="30"/>
        <v>0</v>
      </c>
      <c r="AM92" s="13">
        <f t="shared" si="31"/>
        <v>0</v>
      </c>
      <c r="AO92" s="14">
        <f t="shared" si="17"/>
        <v>0</v>
      </c>
      <c r="AP92" s="14">
        <f t="shared" si="17"/>
        <v>0</v>
      </c>
      <c r="AQ92" s="14">
        <f t="shared" si="17"/>
        <v>0</v>
      </c>
      <c r="AR92" s="14">
        <f t="shared" si="18"/>
        <v>0</v>
      </c>
      <c r="AS92" s="14">
        <f t="shared" si="18"/>
        <v>0</v>
      </c>
      <c r="AT92" s="14">
        <f t="shared" si="18"/>
        <v>0</v>
      </c>
      <c r="AU92" s="14">
        <f t="shared" si="18"/>
        <v>0</v>
      </c>
      <c r="AV92" s="14">
        <f t="shared" si="18"/>
        <v>0</v>
      </c>
      <c r="AW92" s="14">
        <f t="shared" si="18"/>
        <v>0</v>
      </c>
      <c r="AX92" s="14">
        <f t="shared" si="18"/>
        <v>0</v>
      </c>
      <c r="AY92" s="14">
        <f t="shared" si="18"/>
        <v>0</v>
      </c>
      <c r="AZ92" s="14">
        <f t="shared" si="18"/>
        <v>0</v>
      </c>
    </row>
    <row r="93" spans="1:52">
      <c r="A93">
        <f>Grades!A93</f>
        <v>0</v>
      </c>
      <c r="B93">
        <f>Grades!B93</f>
        <v>0</v>
      </c>
      <c r="C93" s="12">
        <f>Grades!C93</f>
        <v>0</v>
      </c>
      <c r="D93" s="13">
        <f t="shared" si="19"/>
        <v>0</v>
      </c>
      <c r="E93" s="13"/>
      <c r="F93" s="13"/>
      <c r="G93" s="13"/>
      <c r="H93" s="13"/>
      <c r="I93" s="13"/>
      <c r="J93" s="13"/>
      <c r="K93" s="13"/>
      <c r="L93" s="13"/>
      <c r="M93" s="13"/>
      <c r="N93" s="13"/>
      <c r="O93" s="13"/>
      <c r="P93" s="13"/>
      <c r="Q93" s="13"/>
      <c r="R93" s="13"/>
      <c r="S93" s="13"/>
      <c r="T93" s="13"/>
      <c r="U93" s="13"/>
      <c r="V93" s="13"/>
      <c r="W93" s="13"/>
      <c r="X93" s="13"/>
      <c r="Y93" s="13"/>
      <c r="Z93" s="13"/>
      <c r="AB93" s="13">
        <f t="shared" si="20"/>
        <v>0</v>
      </c>
      <c r="AC93" s="13">
        <f t="shared" si="21"/>
        <v>0</v>
      </c>
      <c r="AD93" s="13">
        <f t="shared" si="22"/>
        <v>0</v>
      </c>
      <c r="AE93" s="13">
        <f t="shared" si="23"/>
        <v>0</v>
      </c>
      <c r="AF93" s="13">
        <f t="shared" si="24"/>
        <v>0</v>
      </c>
      <c r="AG93" s="13">
        <f t="shared" si="25"/>
        <v>0</v>
      </c>
      <c r="AH93" s="13">
        <f t="shared" si="26"/>
        <v>0</v>
      </c>
      <c r="AI93" s="13">
        <f t="shared" si="27"/>
        <v>0</v>
      </c>
      <c r="AJ93" s="13">
        <f t="shared" si="28"/>
        <v>0</v>
      </c>
      <c r="AK93" s="13">
        <f t="shared" si="29"/>
        <v>0</v>
      </c>
      <c r="AL93" s="13">
        <f t="shared" si="30"/>
        <v>0</v>
      </c>
      <c r="AM93" s="13">
        <f t="shared" si="31"/>
        <v>0</v>
      </c>
      <c r="AO93" s="14">
        <f t="shared" si="17"/>
        <v>0</v>
      </c>
      <c r="AP93" s="14">
        <f t="shared" si="17"/>
        <v>0</v>
      </c>
      <c r="AQ93" s="14">
        <f t="shared" si="17"/>
        <v>0</v>
      </c>
      <c r="AR93" s="14">
        <f t="shared" si="18"/>
        <v>0</v>
      </c>
      <c r="AS93" s="14">
        <f t="shared" si="18"/>
        <v>0</v>
      </c>
      <c r="AT93" s="14">
        <f t="shared" si="18"/>
        <v>0</v>
      </c>
      <c r="AU93" s="14">
        <f t="shared" si="18"/>
        <v>0</v>
      </c>
      <c r="AV93" s="14">
        <f t="shared" si="18"/>
        <v>0</v>
      </c>
      <c r="AW93" s="14">
        <f t="shared" si="18"/>
        <v>0</v>
      </c>
      <c r="AX93" s="14">
        <f t="shared" si="18"/>
        <v>0</v>
      </c>
      <c r="AY93" s="14">
        <f t="shared" si="18"/>
        <v>0</v>
      </c>
      <c r="AZ93" s="14">
        <f t="shared" si="18"/>
        <v>0</v>
      </c>
    </row>
    <row r="94" spans="1:52">
      <c r="A94">
        <f>Grades!A94</f>
        <v>0</v>
      </c>
      <c r="B94">
        <f>Grades!B94</f>
        <v>0</v>
      </c>
      <c r="C94" s="12">
        <f>Grades!C94</f>
        <v>0</v>
      </c>
      <c r="D94" s="13">
        <f t="shared" si="19"/>
        <v>0</v>
      </c>
      <c r="E94" s="13"/>
      <c r="F94" s="13"/>
      <c r="G94" s="13"/>
      <c r="H94" s="13"/>
      <c r="I94" s="13"/>
      <c r="J94" s="13"/>
      <c r="K94" s="13"/>
      <c r="L94" s="13"/>
      <c r="M94" s="13"/>
      <c r="N94" s="13"/>
      <c r="O94" s="13"/>
      <c r="P94" s="13"/>
      <c r="Q94" s="13"/>
      <c r="R94" s="13"/>
      <c r="S94" s="13"/>
      <c r="T94" s="13"/>
      <c r="U94" s="13"/>
      <c r="V94" s="13"/>
      <c r="W94" s="13"/>
      <c r="X94" s="13"/>
      <c r="Y94" s="13"/>
      <c r="Z94" s="13"/>
      <c r="AB94" s="13">
        <f t="shared" si="20"/>
        <v>0</v>
      </c>
      <c r="AC94" s="13">
        <f t="shared" si="21"/>
        <v>0</v>
      </c>
      <c r="AD94" s="13">
        <f t="shared" si="22"/>
        <v>0</v>
      </c>
      <c r="AE94" s="13">
        <f t="shared" si="23"/>
        <v>0</v>
      </c>
      <c r="AF94" s="13">
        <f t="shared" si="24"/>
        <v>0</v>
      </c>
      <c r="AG94" s="13">
        <f t="shared" si="25"/>
        <v>0</v>
      </c>
      <c r="AH94" s="13">
        <f t="shared" si="26"/>
        <v>0</v>
      </c>
      <c r="AI94" s="13">
        <f t="shared" si="27"/>
        <v>0</v>
      </c>
      <c r="AJ94" s="13">
        <f t="shared" si="28"/>
        <v>0</v>
      </c>
      <c r="AK94" s="13">
        <f t="shared" si="29"/>
        <v>0</v>
      </c>
      <c r="AL94" s="13">
        <f t="shared" si="30"/>
        <v>0</v>
      </c>
      <c r="AM94" s="13">
        <f t="shared" si="31"/>
        <v>0</v>
      </c>
      <c r="AO94" s="14">
        <f t="shared" si="17"/>
        <v>0</v>
      </c>
      <c r="AP94" s="14">
        <f t="shared" si="17"/>
        <v>0</v>
      </c>
      <c r="AQ94" s="14">
        <f t="shared" si="17"/>
        <v>0</v>
      </c>
      <c r="AR94" s="14">
        <f t="shared" si="18"/>
        <v>0</v>
      </c>
      <c r="AS94" s="14">
        <f t="shared" si="18"/>
        <v>0</v>
      </c>
      <c r="AT94" s="14">
        <f t="shared" si="18"/>
        <v>0</v>
      </c>
      <c r="AU94" s="14">
        <f t="shared" si="18"/>
        <v>0</v>
      </c>
      <c r="AV94" s="14">
        <f t="shared" si="18"/>
        <v>0</v>
      </c>
      <c r="AW94" s="14">
        <f t="shared" si="18"/>
        <v>0</v>
      </c>
      <c r="AX94" s="14">
        <f t="shared" si="18"/>
        <v>0</v>
      </c>
      <c r="AY94" s="14">
        <f t="shared" si="18"/>
        <v>0</v>
      </c>
      <c r="AZ94" s="14">
        <f t="shared" si="18"/>
        <v>0</v>
      </c>
    </row>
    <row r="95" spans="1:52">
      <c r="A95">
        <f>Grades!A95</f>
        <v>0</v>
      </c>
      <c r="B95">
        <f>Grades!B95</f>
        <v>0</v>
      </c>
      <c r="C95" s="12">
        <f>Grades!C95</f>
        <v>0</v>
      </c>
      <c r="D95" s="13">
        <f t="shared" si="19"/>
        <v>0</v>
      </c>
      <c r="E95" s="13"/>
      <c r="F95" s="13"/>
      <c r="G95" s="13"/>
      <c r="H95" s="13"/>
      <c r="I95" s="13"/>
      <c r="J95" s="13"/>
      <c r="K95" s="13"/>
      <c r="L95" s="13"/>
      <c r="M95" s="13"/>
      <c r="N95" s="13"/>
      <c r="O95" s="13"/>
      <c r="P95" s="13"/>
      <c r="Q95" s="13"/>
      <c r="R95" s="13"/>
      <c r="S95" s="13"/>
      <c r="T95" s="13"/>
      <c r="U95" s="13"/>
      <c r="V95" s="13"/>
      <c r="W95" s="13"/>
      <c r="X95" s="13"/>
      <c r="Y95" s="13"/>
      <c r="Z95" s="13"/>
      <c r="AB95" s="13">
        <f t="shared" si="20"/>
        <v>0</v>
      </c>
      <c r="AC95" s="13">
        <f t="shared" si="21"/>
        <v>0</v>
      </c>
      <c r="AD95" s="13">
        <f t="shared" si="22"/>
        <v>0</v>
      </c>
      <c r="AE95" s="13">
        <f t="shared" si="23"/>
        <v>0</v>
      </c>
      <c r="AF95" s="13">
        <f t="shared" si="24"/>
        <v>0</v>
      </c>
      <c r="AG95" s="13">
        <f t="shared" si="25"/>
        <v>0</v>
      </c>
      <c r="AH95" s="13">
        <f t="shared" si="26"/>
        <v>0</v>
      </c>
      <c r="AI95" s="13">
        <f t="shared" si="27"/>
        <v>0</v>
      </c>
      <c r="AJ95" s="13">
        <f t="shared" si="28"/>
        <v>0</v>
      </c>
      <c r="AK95" s="13">
        <f t="shared" si="29"/>
        <v>0</v>
      </c>
      <c r="AL95" s="13">
        <f t="shared" si="30"/>
        <v>0</v>
      </c>
      <c r="AM95" s="13">
        <f t="shared" si="31"/>
        <v>0</v>
      </c>
      <c r="AO95" s="14">
        <f t="shared" si="17"/>
        <v>0</v>
      </c>
      <c r="AP95" s="14">
        <f t="shared" si="17"/>
        <v>0</v>
      </c>
      <c r="AQ95" s="14">
        <f t="shared" si="17"/>
        <v>0</v>
      </c>
      <c r="AR95" s="14">
        <f t="shared" si="18"/>
        <v>0</v>
      </c>
      <c r="AS95" s="14">
        <f t="shared" si="18"/>
        <v>0</v>
      </c>
      <c r="AT95" s="14">
        <f t="shared" si="18"/>
        <v>0</v>
      </c>
      <c r="AU95" s="14">
        <f t="shared" si="18"/>
        <v>0</v>
      </c>
      <c r="AV95" s="14">
        <f t="shared" si="18"/>
        <v>0</v>
      </c>
      <c r="AW95" s="14">
        <f t="shared" si="18"/>
        <v>0</v>
      </c>
      <c r="AX95" s="14">
        <f t="shared" si="18"/>
        <v>0</v>
      </c>
      <c r="AY95" s="14">
        <f t="shared" si="18"/>
        <v>0</v>
      </c>
      <c r="AZ95" s="14">
        <f t="shared" si="18"/>
        <v>0</v>
      </c>
    </row>
    <row r="96" spans="1:52">
      <c r="A96">
        <f>Grades!A96</f>
        <v>0</v>
      </c>
      <c r="B96">
        <f>Grades!B96</f>
        <v>0</v>
      </c>
      <c r="C96" s="12">
        <f>Grades!C96</f>
        <v>0</v>
      </c>
      <c r="D96" s="13">
        <f t="shared" si="19"/>
        <v>0</v>
      </c>
      <c r="E96" s="13"/>
      <c r="F96" s="13"/>
      <c r="G96" s="13"/>
      <c r="H96" s="13"/>
      <c r="I96" s="13"/>
      <c r="J96" s="13"/>
      <c r="K96" s="13"/>
      <c r="L96" s="13"/>
      <c r="M96" s="13"/>
      <c r="N96" s="13"/>
      <c r="O96" s="13"/>
      <c r="P96" s="13"/>
      <c r="Q96" s="13"/>
      <c r="R96" s="13"/>
      <c r="S96" s="13"/>
      <c r="T96" s="13"/>
      <c r="U96" s="13"/>
      <c r="V96" s="13"/>
      <c r="W96" s="13"/>
      <c r="X96" s="13"/>
      <c r="Y96" s="13"/>
      <c r="Z96" s="13"/>
      <c r="AB96" s="13">
        <f t="shared" si="20"/>
        <v>0</v>
      </c>
      <c r="AC96" s="13">
        <f t="shared" si="21"/>
        <v>0</v>
      </c>
      <c r="AD96" s="13">
        <f t="shared" si="22"/>
        <v>0</v>
      </c>
      <c r="AE96" s="13">
        <f t="shared" si="23"/>
        <v>0</v>
      </c>
      <c r="AF96" s="13">
        <f t="shared" si="24"/>
        <v>0</v>
      </c>
      <c r="AG96" s="13">
        <f t="shared" si="25"/>
        <v>0</v>
      </c>
      <c r="AH96" s="13">
        <f t="shared" si="26"/>
        <v>0</v>
      </c>
      <c r="AI96" s="13">
        <f t="shared" si="27"/>
        <v>0</v>
      </c>
      <c r="AJ96" s="13">
        <f t="shared" si="28"/>
        <v>0</v>
      </c>
      <c r="AK96" s="13">
        <f t="shared" si="29"/>
        <v>0</v>
      </c>
      <c r="AL96" s="13">
        <f t="shared" si="30"/>
        <v>0</v>
      </c>
      <c r="AM96" s="13">
        <f t="shared" si="31"/>
        <v>0</v>
      </c>
      <c r="AO96" s="14">
        <f t="shared" si="17"/>
        <v>0</v>
      </c>
      <c r="AP96" s="14">
        <f t="shared" si="17"/>
        <v>0</v>
      </c>
      <c r="AQ96" s="14">
        <f t="shared" si="17"/>
        <v>0</v>
      </c>
      <c r="AR96" s="14">
        <f t="shared" si="18"/>
        <v>0</v>
      </c>
      <c r="AS96" s="14">
        <f t="shared" si="18"/>
        <v>0</v>
      </c>
      <c r="AT96" s="14">
        <f t="shared" si="18"/>
        <v>0</v>
      </c>
      <c r="AU96" s="14">
        <f t="shared" si="18"/>
        <v>0</v>
      </c>
      <c r="AV96" s="14">
        <f t="shared" si="18"/>
        <v>0</v>
      </c>
      <c r="AW96" s="14">
        <f t="shared" si="18"/>
        <v>0</v>
      </c>
      <c r="AX96" s="14">
        <f t="shared" si="18"/>
        <v>0</v>
      </c>
      <c r="AY96" s="14">
        <f t="shared" si="18"/>
        <v>0</v>
      </c>
      <c r="AZ96" s="14">
        <f t="shared" si="18"/>
        <v>0</v>
      </c>
    </row>
    <row r="97" spans="1:52">
      <c r="A97">
        <f>Grades!A97</f>
        <v>0</v>
      </c>
      <c r="B97">
        <f>Grades!B97</f>
        <v>0</v>
      </c>
      <c r="C97" s="12">
        <f>Grades!C97</f>
        <v>0</v>
      </c>
      <c r="D97" s="13">
        <f t="shared" si="19"/>
        <v>0</v>
      </c>
      <c r="E97" s="13"/>
      <c r="F97" s="13"/>
      <c r="G97" s="13"/>
      <c r="H97" s="13"/>
      <c r="I97" s="13"/>
      <c r="J97" s="13"/>
      <c r="K97" s="13"/>
      <c r="L97" s="13"/>
      <c r="M97" s="13"/>
      <c r="N97" s="13"/>
      <c r="O97" s="13"/>
      <c r="P97" s="13"/>
      <c r="Q97" s="13"/>
      <c r="R97" s="13"/>
      <c r="S97" s="13"/>
      <c r="T97" s="13"/>
      <c r="U97" s="13"/>
      <c r="V97" s="13"/>
      <c r="W97" s="13"/>
      <c r="X97" s="13"/>
      <c r="Y97" s="13"/>
      <c r="Z97" s="13"/>
      <c r="AB97" s="13">
        <f t="shared" si="20"/>
        <v>0</v>
      </c>
      <c r="AC97" s="13">
        <f t="shared" si="21"/>
        <v>0</v>
      </c>
      <c r="AD97" s="13">
        <f t="shared" si="22"/>
        <v>0</v>
      </c>
      <c r="AE97" s="13">
        <f t="shared" si="23"/>
        <v>0</v>
      </c>
      <c r="AF97" s="13">
        <f t="shared" si="24"/>
        <v>0</v>
      </c>
      <c r="AG97" s="13">
        <f t="shared" si="25"/>
        <v>0</v>
      </c>
      <c r="AH97" s="13">
        <f t="shared" si="26"/>
        <v>0</v>
      </c>
      <c r="AI97" s="13">
        <f t="shared" si="27"/>
        <v>0</v>
      </c>
      <c r="AJ97" s="13">
        <f t="shared" si="28"/>
        <v>0</v>
      </c>
      <c r="AK97" s="13">
        <f t="shared" si="29"/>
        <v>0</v>
      </c>
      <c r="AL97" s="13">
        <f t="shared" si="30"/>
        <v>0</v>
      </c>
      <c r="AM97" s="13">
        <f t="shared" si="31"/>
        <v>0</v>
      </c>
      <c r="AO97" s="14">
        <f t="shared" si="17"/>
        <v>0</v>
      </c>
      <c r="AP97" s="14">
        <f t="shared" si="17"/>
        <v>0</v>
      </c>
      <c r="AQ97" s="14">
        <f t="shared" si="17"/>
        <v>0</v>
      </c>
      <c r="AR97" s="14">
        <f t="shared" si="18"/>
        <v>0</v>
      </c>
      <c r="AS97" s="14">
        <f t="shared" si="18"/>
        <v>0</v>
      </c>
      <c r="AT97" s="14">
        <f t="shared" si="18"/>
        <v>0</v>
      </c>
      <c r="AU97" s="14">
        <f t="shared" ref="AU97:AZ100" si="32">IF(AH$9&gt;0,AH97/AH$9,0)</f>
        <v>0</v>
      </c>
      <c r="AV97" s="14">
        <f t="shared" si="32"/>
        <v>0</v>
      </c>
      <c r="AW97" s="14">
        <f t="shared" si="32"/>
        <v>0</v>
      </c>
      <c r="AX97" s="14">
        <f t="shared" si="32"/>
        <v>0</v>
      </c>
      <c r="AY97" s="14">
        <f t="shared" si="32"/>
        <v>0</v>
      </c>
      <c r="AZ97" s="14">
        <f t="shared" si="32"/>
        <v>0</v>
      </c>
    </row>
    <row r="98" spans="1:52">
      <c r="A98">
        <f>Grades!A98</f>
        <v>0</v>
      </c>
      <c r="B98">
        <f>Grades!B98</f>
        <v>0</v>
      </c>
      <c r="C98" s="12">
        <f>Grades!C98</f>
        <v>0</v>
      </c>
      <c r="D98" s="13">
        <f t="shared" si="19"/>
        <v>0</v>
      </c>
      <c r="E98" s="13"/>
      <c r="F98" s="13"/>
      <c r="G98" s="13"/>
      <c r="H98" s="13"/>
      <c r="I98" s="13"/>
      <c r="J98" s="13"/>
      <c r="K98" s="13"/>
      <c r="L98" s="13"/>
      <c r="M98" s="13"/>
      <c r="N98" s="13"/>
      <c r="O98" s="13"/>
      <c r="P98" s="13"/>
      <c r="Q98" s="13"/>
      <c r="R98" s="13"/>
      <c r="S98" s="13"/>
      <c r="T98" s="13"/>
      <c r="U98" s="13"/>
      <c r="V98" s="13"/>
      <c r="W98" s="13"/>
      <c r="X98" s="13"/>
      <c r="Y98" s="13"/>
      <c r="Z98" s="13"/>
      <c r="AB98" s="13">
        <f t="shared" si="20"/>
        <v>0</v>
      </c>
      <c r="AC98" s="13">
        <f t="shared" si="21"/>
        <v>0</v>
      </c>
      <c r="AD98" s="13">
        <f t="shared" si="22"/>
        <v>0</v>
      </c>
      <c r="AE98" s="13">
        <f t="shared" si="23"/>
        <v>0</v>
      </c>
      <c r="AF98" s="13">
        <f t="shared" si="24"/>
        <v>0</v>
      </c>
      <c r="AG98" s="13">
        <f t="shared" si="25"/>
        <v>0</v>
      </c>
      <c r="AH98" s="13">
        <f t="shared" si="26"/>
        <v>0</v>
      </c>
      <c r="AI98" s="13">
        <f t="shared" si="27"/>
        <v>0</v>
      </c>
      <c r="AJ98" s="13">
        <f t="shared" si="28"/>
        <v>0</v>
      </c>
      <c r="AK98" s="13">
        <f t="shared" si="29"/>
        <v>0</v>
      </c>
      <c r="AL98" s="13">
        <f t="shared" si="30"/>
        <v>0</v>
      </c>
      <c r="AM98" s="13">
        <f t="shared" si="31"/>
        <v>0</v>
      </c>
      <c r="AO98" s="14">
        <f t="shared" si="17"/>
        <v>0</v>
      </c>
      <c r="AP98" s="14">
        <f t="shared" si="17"/>
        <v>0</v>
      </c>
      <c r="AQ98" s="14">
        <f t="shared" si="17"/>
        <v>0</v>
      </c>
      <c r="AR98" s="14">
        <f t="shared" si="17"/>
        <v>0</v>
      </c>
      <c r="AS98" s="14">
        <f t="shared" si="17"/>
        <v>0</v>
      </c>
      <c r="AT98" s="14">
        <f t="shared" si="17"/>
        <v>0</v>
      </c>
      <c r="AU98" s="14">
        <f t="shared" si="32"/>
        <v>0</v>
      </c>
      <c r="AV98" s="14">
        <f t="shared" si="32"/>
        <v>0</v>
      </c>
      <c r="AW98" s="14">
        <f t="shared" si="32"/>
        <v>0</v>
      </c>
      <c r="AX98" s="14">
        <f t="shared" si="32"/>
        <v>0</v>
      </c>
      <c r="AY98" s="14">
        <f t="shared" si="32"/>
        <v>0</v>
      </c>
      <c r="AZ98" s="14">
        <f t="shared" si="32"/>
        <v>0</v>
      </c>
    </row>
    <row r="99" spans="1:52">
      <c r="A99">
        <f>Grades!A99</f>
        <v>0</v>
      </c>
      <c r="B99">
        <f>Grades!B99</f>
        <v>0</v>
      </c>
      <c r="C99" s="12">
        <f>Grades!C99</f>
        <v>0</v>
      </c>
      <c r="D99" s="13">
        <f t="shared" si="19"/>
        <v>0</v>
      </c>
      <c r="E99" s="13"/>
      <c r="F99" s="13"/>
      <c r="G99" s="13"/>
      <c r="H99" s="13"/>
      <c r="I99" s="13"/>
      <c r="J99" s="13"/>
      <c r="K99" s="13"/>
      <c r="L99" s="13"/>
      <c r="M99" s="13"/>
      <c r="N99" s="13"/>
      <c r="O99" s="13"/>
      <c r="P99" s="13"/>
      <c r="Q99" s="13"/>
      <c r="R99" s="13"/>
      <c r="S99" s="13"/>
      <c r="T99" s="13"/>
      <c r="U99" s="13"/>
      <c r="V99" s="13"/>
      <c r="W99" s="13"/>
      <c r="X99" s="13"/>
      <c r="Y99" s="13"/>
      <c r="Z99" s="13"/>
      <c r="AB99" s="13">
        <f t="shared" si="20"/>
        <v>0</v>
      </c>
      <c r="AC99" s="13">
        <f t="shared" si="21"/>
        <v>0</v>
      </c>
      <c r="AD99" s="13">
        <f t="shared" si="22"/>
        <v>0</v>
      </c>
      <c r="AE99" s="13">
        <f t="shared" si="23"/>
        <v>0</v>
      </c>
      <c r="AF99" s="13">
        <f t="shared" si="24"/>
        <v>0</v>
      </c>
      <c r="AG99" s="13">
        <f t="shared" si="25"/>
        <v>0</v>
      </c>
      <c r="AH99" s="13">
        <f t="shared" si="26"/>
        <v>0</v>
      </c>
      <c r="AI99" s="13">
        <f t="shared" si="27"/>
        <v>0</v>
      </c>
      <c r="AJ99" s="13">
        <f t="shared" si="28"/>
        <v>0</v>
      </c>
      <c r="AK99" s="13">
        <f t="shared" si="29"/>
        <v>0</v>
      </c>
      <c r="AL99" s="13">
        <f t="shared" si="30"/>
        <v>0</v>
      </c>
      <c r="AM99" s="13">
        <f t="shared" si="31"/>
        <v>0</v>
      </c>
      <c r="AO99" s="14">
        <f t="shared" si="17"/>
        <v>0</v>
      </c>
      <c r="AP99" s="14">
        <f t="shared" si="17"/>
        <v>0</v>
      </c>
      <c r="AQ99" s="14">
        <f t="shared" si="17"/>
        <v>0</v>
      </c>
      <c r="AR99" s="14">
        <f t="shared" si="17"/>
        <v>0</v>
      </c>
      <c r="AS99" s="14">
        <f t="shared" si="17"/>
        <v>0</v>
      </c>
      <c r="AT99" s="14">
        <f t="shared" si="17"/>
        <v>0</v>
      </c>
      <c r="AU99" s="14">
        <f t="shared" si="32"/>
        <v>0</v>
      </c>
      <c r="AV99" s="14">
        <f t="shared" si="32"/>
        <v>0</v>
      </c>
      <c r="AW99" s="14">
        <f t="shared" si="32"/>
        <v>0</v>
      </c>
      <c r="AX99" s="14">
        <f t="shared" si="32"/>
        <v>0</v>
      </c>
      <c r="AY99" s="14">
        <f t="shared" si="32"/>
        <v>0</v>
      </c>
      <c r="AZ99" s="14">
        <f t="shared" si="32"/>
        <v>0</v>
      </c>
    </row>
    <row r="100" spans="1:52">
      <c r="A100">
        <f>Grades!A100</f>
        <v>0</v>
      </c>
      <c r="B100">
        <f>Grades!B100</f>
        <v>0</v>
      </c>
      <c r="C100" s="12">
        <f>Grades!C100</f>
        <v>0</v>
      </c>
      <c r="D100" s="13">
        <f t="shared" si="19"/>
        <v>0</v>
      </c>
      <c r="E100" s="13"/>
      <c r="F100" s="13"/>
      <c r="G100" s="13"/>
      <c r="H100" s="13"/>
      <c r="I100" s="13"/>
      <c r="J100" s="13"/>
      <c r="K100" s="13"/>
      <c r="L100" s="13"/>
      <c r="M100" s="13"/>
      <c r="N100" s="13"/>
      <c r="O100" s="13"/>
      <c r="P100" s="13"/>
      <c r="Q100" s="13"/>
      <c r="R100" s="13"/>
      <c r="S100" s="13"/>
      <c r="T100" s="13"/>
      <c r="U100" s="13"/>
      <c r="V100" s="13"/>
      <c r="W100" s="13"/>
      <c r="X100" s="13"/>
      <c r="Y100" s="13"/>
      <c r="Z100" s="13"/>
      <c r="AB100" s="13">
        <f t="shared" si="20"/>
        <v>0</v>
      </c>
      <c r="AC100" s="13">
        <f t="shared" si="21"/>
        <v>0</v>
      </c>
      <c r="AD100" s="13">
        <f t="shared" si="22"/>
        <v>0</v>
      </c>
      <c r="AE100" s="13">
        <f t="shared" si="23"/>
        <v>0</v>
      </c>
      <c r="AF100" s="13">
        <f t="shared" si="24"/>
        <v>0</v>
      </c>
      <c r="AG100" s="13">
        <f t="shared" si="25"/>
        <v>0</v>
      </c>
      <c r="AH100" s="13">
        <f t="shared" si="26"/>
        <v>0</v>
      </c>
      <c r="AI100" s="13">
        <f t="shared" si="27"/>
        <v>0</v>
      </c>
      <c r="AJ100" s="13">
        <f t="shared" si="28"/>
        <v>0</v>
      </c>
      <c r="AK100" s="13">
        <f t="shared" si="29"/>
        <v>0</v>
      </c>
      <c r="AL100" s="13">
        <f t="shared" si="30"/>
        <v>0</v>
      </c>
      <c r="AM100" s="13">
        <f t="shared" si="31"/>
        <v>0</v>
      </c>
      <c r="AO100" s="14">
        <f t="shared" si="17"/>
        <v>0</v>
      </c>
      <c r="AP100" s="14">
        <f t="shared" si="17"/>
        <v>0</v>
      </c>
      <c r="AQ100" s="14">
        <f t="shared" si="17"/>
        <v>0</v>
      </c>
      <c r="AR100" s="14">
        <f t="shared" si="17"/>
        <v>0</v>
      </c>
      <c r="AS100" s="14">
        <f t="shared" si="17"/>
        <v>0</v>
      </c>
      <c r="AT100" s="14">
        <f t="shared" si="17"/>
        <v>0</v>
      </c>
      <c r="AU100" s="14">
        <f t="shared" si="32"/>
        <v>0</v>
      </c>
      <c r="AV100" s="14">
        <f t="shared" si="32"/>
        <v>0</v>
      </c>
      <c r="AW100" s="14">
        <f t="shared" si="32"/>
        <v>0</v>
      </c>
      <c r="AX100" s="14">
        <f t="shared" si="32"/>
        <v>0</v>
      </c>
      <c r="AY100" s="14">
        <f t="shared" si="32"/>
        <v>0</v>
      </c>
      <c r="AZ100" s="14">
        <f t="shared" si="32"/>
        <v>0</v>
      </c>
    </row>
  </sheetData>
  <pageMargins left="0.75" right="0.75" top="1" bottom="1" header="0.5" footer="0.5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btnFifth_Click">
                <anchor moveWithCells="1" sizeWithCells="1">
                  <from>
                    <xdr:col>6</xdr:col>
                    <xdr:colOff>0</xdr:colOff>
                    <xdr:row>0</xdr:row>
                    <xdr:rowOff>180975</xdr:rowOff>
                  </from>
                  <to>
                    <xdr:col>8</xdr:col>
                    <xdr:colOff>9525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J95"/>
  <sheetViews>
    <sheetView workbookViewId="0">
      <pane ySplit="11" topLeftCell="A12" activePane="bottomLeft" state="frozen"/>
      <selection pane="bottomLeft" activeCell="E37" sqref="E37"/>
    </sheetView>
  </sheetViews>
  <sheetFormatPr defaultColWidth="11" defaultRowHeight="15.75"/>
  <cols>
    <col min="1" max="1" width="3.875" customWidth="1"/>
    <col min="2" max="2" width="4.625" customWidth="1"/>
    <col min="3" max="3" width="2.875" customWidth="1"/>
    <col min="4" max="4" width="5.875" customWidth="1"/>
    <col min="5" max="5" width="14.625" bestFit="1" customWidth="1"/>
  </cols>
  <sheetData>
    <row r="1" spans="1:10">
      <c r="A1" s="1" t="s">
        <v>81</v>
      </c>
    </row>
    <row r="2" spans="1:10">
      <c r="A2" t="str">
        <f>CONCATENATE("Course: ",LO!B2," (",LO!B4,")")</f>
        <v>Course:  ()</v>
      </c>
    </row>
    <row r="3" spans="1:10">
      <c r="A3" t="str">
        <f>CONCATENATE("Instructor: ",LO!B3)</f>
        <v xml:space="preserve">Instructor: </v>
      </c>
    </row>
    <row r="5" spans="1:10">
      <c r="A5" s="1" t="s">
        <v>82</v>
      </c>
    </row>
    <row r="6" spans="1:10">
      <c r="A6" s="15" t="s">
        <v>83</v>
      </c>
      <c r="B6" s="16">
        <v>0.8</v>
      </c>
      <c r="C6" s="15" t="s">
        <v>22</v>
      </c>
      <c r="D6" s="16">
        <v>1</v>
      </c>
    </row>
    <row r="7" spans="1:10">
      <c r="A7" s="15" t="s">
        <v>84</v>
      </c>
      <c r="B7" s="16">
        <v>0.7</v>
      </c>
      <c r="C7" s="15" t="s">
        <v>22</v>
      </c>
      <c r="D7" s="16">
        <v>0.79</v>
      </c>
    </row>
    <row r="8" spans="1:10">
      <c r="A8" s="15" t="s">
        <v>85</v>
      </c>
      <c r="B8" s="16">
        <v>0.6</v>
      </c>
      <c r="C8" s="15" t="s">
        <v>22</v>
      </c>
      <c r="D8" s="16">
        <v>0.69</v>
      </c>
    </row>
    <row r="9" spans="1:10">
      <c r="A9" s="15" t="s">
        <v>86</v>
      </c>
      <c r="B9" s="16">
        <v>0.5</v>
      </c>
      <c r="C9" s="15" t="s">
        <v>22</v>
      </c>
      <c r="D9" s="16">
        <v>0.59</v>
      </c>
    </row>
    <row r="10" spans="1:10">
      <c r="A10" s="15" t="s">
        <v>87</v>
      </c>
      <c r="B10" s="16">
        <v>0</v>
      </c>
      <c r="C10" s="15" t="s">
        <v>22</v>
      </c>
      <c r="D10" s="16">
        <v>0.49</v>
      </c>
    </row>
    <row r="13" spans="1:10">
      <c r="A13" s="1" t="s">
        <v>102</v>
      </c>
    </row>
    <row r="14" spans="1:10">
      <c r="A14" t="s">
        <v>88</v>
      </c>
      <c r="E14" t="s">
        <v>7</v>
      </c>
      <c r="H14" t="s">
        <v>89</v>
      </c>
    </row>
    <row r="15" spans="1:10">
      <c r="F15" s="15" t="s">
        <v>87</v>
      </c>
      <c r="G15" s="15" t="s">
        <v>86</v>
      </c>
      <c r="H15" s="15" t="s">
        <v>85</v>
      </c>
      <c r="I15" s="15" t="s">
        <v>84</v>
      </c>
      <c r="J15" s="15" t="s">
        <v>83</v>
      </c>
    </row>
    <row r="16" spans="1:10">
      <c r="A16" t="str">
        <f>IF(COUNTIF(One!E9:X9,"3.1.1 ")&gt;0,One!B4,"-")</f>
        <v>-</v>
      </c>
      <c r="F16" s="17" t="str">
        <f>IF($A16&lt;&gt;"-",One!$AZ$14/One!$AZ$15,"")</f>
        <v/>
      </c>
      <c r="G16" s="17" t="str">
        <f>IF($A16&lt;&gt;"-",One!$AZ$13/One!$AZ$15,"")</f>
        <v/>
      </c>
      <c r="H16" s="17" t="str">
        <f>IF($A16&lt;&gt;"-",One!$AZ$12/One!$AZ$15,"")</f>
        <v/>
      </c>
      <c r="I16" s="17" t="str">
        <f>IF($A16&lt;&gt;"-",One!$AZ$11/One!$AZ$15,"")</f>
        <v/>
      </c>
      <c r="J16" s="17" t="str">
        <f>IF($A16&lt;&gt;"-",One!$AZ$10/One!$AZ$15,"")</f>
        <v/>
      </c>
    </row>
    <row r="17" spans="1:10">
      <c r="A17" t="str">
        <f>IF(COUNTIF(Two!E9:Z9,"3.1.1 ")&gt;0,Two!B4,"-")</f>
        <v>-</v>
      </c>
      <c r="F17" s="17" t="str">
        <f>IF($A17&lt;&gt;"-",Two!$BB$14/Two!$BB$15,"")</f>
        <v/>
      </c>
      <c r="G17" s="17" t="str">
        <f>IF($A17&lt;&gt;"-",Two!$BB$13/Two!$BB$15,"")</f>
        <v/>
      </c>
      <c r="H17" s="17" t="str">
        <f>IF($A17&lt;&gt;"-",Two!$BB$12/Two!$BB$15,"")</f>
        <v/>
      </c>
      <c r="I17" s="17" t="str">
        <f>IF($A17&lt;&gt;"-",Two!$BB$11/Two!$BB$15,"")</f>
        <v/>
      </c>
      <c r="J17" s="17" t="str">
        <f>IF($A17&lt;&gt;"-",Two!$BB$10/Two!$BB$15,"")</f>
        <v/>
      </c>
    </row>
    <row r="18" spans="1:10">
      <c r="A18" t="str">
        <f>IF(COUNTIF(Three!E9:Z9,"3.1.1 ")&gt;0,Three!B4,"-")</f>
        <v>-</v>
      </c>
      <c r="F18" t="str">
        <f>IF($A18&lt;&gt;"-",Three!$BB$14/Three!$BB$15,"")</f>
        <v/>
      </c>
      <c r="G18" t="str">
        <f>IF($A18&lt;&gt;"-",Three!$BB$13/Three!$BB$15,"")</f>
        <v/>
      </c>
      <c r="H18" t="str">
        <f>IF($A18&lt;&gt;"-",Three!$BB$12/Three!$BB$15,"")</f>
        <v/>
      </c>
      <c r="I18" t="str">
        <f>IF($A18&lt;&gt;"-",Three!$BB$11/Three!$BB$15,"")</f>
        <v/>
      </c>
      <c r="J18" t="str">
        <f>IF($A18&lt;&gt;"-",Three!$BB$10/Three!$BB$15,"")</f>
        <v/>
      </c>
    </row>
    <row r="20" spans="1:10">
      <c r="A20" s="1" t="s">
        <v>103</v>
      </c>
    </row>
    <row r="21" spans="1:10">
      <c r="A21" t="s">
        <v>88</v>
      </c>
      <c r="E21" t="s">
        <v>7</v>
      </c>
      <c r="H21" t="s">
        <v>89</v>
      </c>
    </row>
    <row r="22" spans="1:10">
      <c r="F22" s="15" t="s">
        <v>87</v>
      </c>
      <c r="G22" s="15" t="s">
        <v>86</v>
      </c>
      <c r="H22" s="15" t="s">
        <v>85</v>
      </c>
      <c r="I22" s="15" t="s">
        <v>84</v>
      </c>
      <c r="J22" s="15" t="s">
        <v>83</v>
      </c>
    </row>
    <row r="23" spans="1:10">
      <c r="A23" t="str">
        <f>IF(COUNTIF(One!E9:X9,"3.1.2 ")&gt;0,One!B4,"-")</f>
        <v>-</v>
      </c>
      <c r="F23" s="17" t="str">
        <f>IF($A23&lt;&gt;"-",One!$BA$14/One!$BA$15,"")</f>
        <v/>
      </c>
      <c r="G23" s="17" t="str">
        <f>IF($A23&lt;&gt;"-",One!$BA$13/One!$BA$15,"")</f>
        <v/>
      </c>
      <c r="H23" s="17" t="str">
        <f>IF($A23&lt;&gt;"-",One!$BA$12/One!$BA$15,"")</f>
        <v/>
      </c>
      <c r="I23" s="17" t="str">
        <f>IF($A23&lt;&gt;"-",One!$BA$11/One!$BA$15,"")</f>
        <v/>
      </c>
      <c r="J23" s="17" t="str">
        <f>IF($A23&lt;&gt;"-",One!$BA$10/One!$BA$15,"")</f>
        <v/>
      </c>
    </row>
    <row r="24" spans="1:10">
      <c r="A24" t="str">
        <f>IF(COUNTIF(Two!E9:Z9,"3.1.2 ")&gt;0,Two!B4,"-")</f>
        <v>-</v>
      </c>
      <c r="F24" s="17" t="str">
        <f>IF($A24&lt;&gt;"-",Two!$BC$14/Two!$BC$15,"")</f>
        <v/>
      </c>
      <c r="G24" s="17" t="str">
        <f>IF($A24&lt;&gt;"-",Two!$BC$13/Two!$BC$15,"")</f>
        <v/>
      </c>
      <c r="H24" s="17" t="str">
        <f>IF($A24&lt;&gt;"-",Two!$BC$12/Two!$BC$15,"")</f>
        <v/>
      </c>
      <c r="I24" s="17" t="str">
        <f>IF($A24&lt;&gt;"-",Two!$BC$11/Two!$BC$15,"")</f>
        <v/>
      </c>
      <c r="J24" s="17" t="str">
        <f>IF($A24&lt;&gt;"-",Two!$BC$10/Two!$BC$15,"")</f>
        <v/>
      </c>
    </row>
    <row r="25" spans="1:10">
      <c r="A25" t="str">
        <f>IF(COUNTIF(Three!E9:Z9,"3.1.2 ")&gt;0,Three!B4,"-")</f>
        <v>-</v>
      </c>
      <c r="F25" t="str">
        <f>IF($A25&lt;&gt;"-",Three!$BC$14/Three!$BC$15,"")</f>
        <v/>
      </c>
      <c r="G25" t="str">
        <f>IF($A25&lt;&gt;"-",Three!$BC$13/Three!$BC$15,"")</f>
        <v/>
      </c>
      <c r="H25" t="str">
        <f>IF($A25&lt;&gt;"-",Three!$BC$12/Three!$BC$15,"")</f>
        <v/>
      </c>
      <c r="I25" t="str">
        <f>IF($A25&lt;&gt;"-",Three!$BC$11/Three!$BC$15,"")</f>
        <v/>
      </c>
      <c r="J25" t="str">
        <f>IF($A25&lt;&gt;"-",Three!$BC$10/Three!$BC$15,"")</f>
        <v/>
      </c>
    </row>
    <row r="27" spans="1:10">
      <c r="A27" s="1" t="s">
        <v>104</v>
      </c>
    </row>
    <row r="28" spans="1:10">
      <c r="A28" t="s">
        <v>88</v>
      </c>
      <c r="E28" t="s">
        <v>7</v>
      </c>
      <c r="H28" t="s">
        <v>89</v>
      </c>
    </row>
    <row r="29" spans="1:10">
      <c r="F29" s="15" t="s">
        <v>87</v>
      </c>
      <c r="G29" s="15" t="s">
        <v>86</v>
      </c>
      <c r="H29" s="15" t="s">
        <v>85</v>
      </c>
      <c r="I29" s="15" t="s">
        <v>84</v>
      </c>
      <c r="J29" s="15" t="s">
        <v>83</v>
      </c>
    </row>
    <row r="30" spans="1:10">
      <c r="A30" t="str">
        <f>IF(COUNTIF(One!E$9:X$9,"3.1.3 ")&gt;0,One!B$4,"-")</f>
        <v>-</v>
      </c>
      <c r="F30" s="17" t="str">
        <f>IF($A30&lt;&gt;"-",One!$BB$14/One!$BB$15,"")</f>
        <v/>
      </c>
      <c r="G30" s="17" t="str">
        <f>IF($A30&lt;&gt;"-",One!$BB$13/One!$BB$15,"")</f>
        <v/>
      </c>
      <c r="H30" s="17" t="str">
        <f>IF($A30&lt;&gt;"-",One!$BB$12/One!$BB$15,"")</f>
        <v/>
      </c>
      <c r="I30" s="17" t="str">
        <f>IF($A30&lt;&gt;"-",One!$BB$11/One!$BB$15,"")</f>
        <v/>
      </c>
      <c r="J30" s="17" t="str">
        <f>IF($A30&lt;&gt;"-",One!$BB$10/One!$BB$15,"")</f>
        <v/>
      </c>
    </row>
    <row r="31" spans="1:10">
      <c r="A31" t="str">
        <f>IF(COUNTIF(Two!E$9:Z$9,"3.1.3 ")&gt;0,Two!B$4,"-")</f>
        <v>-</v>
      </c>
      <c r="F31" s="17" t="str">
        <f>IF($A31&lt;&gt;"-",Two!$BD$14/Two!$BD$15,"")</f>
        <v/>
      </c>
      <c r="G31" s="17" t="str">
        <f>IF($A31&lt;&gt;"-",Two!$BD$13/Two!$BD$15,"")</f>
        <v/>
      </c>
      <c r="H31" s="17" t="str">
        <f>IF($A31&lt;&gt;"-",Two!$BD$12/Two!$BD$15,"")</f>
        <v/>
      </c>
      <c r="I31" s="17" t="str">
        <f>IF($A31&lt;&gt;"-",Two!$BD$11/Two!$BD$15,"")</f>
        <v/>
      </c>
      <c r="J31" s="17" t="str">
        <f>IF($A31&lt;&gt;"-",Two!$BD$10/Two!$BD$15,"")</f>
        <v/>
      </c>
    </row>
    <row r="32" spans="1:10">
      <c r="A32" t="str">
        <f>IF(COUNTIF(Three!E$9:Z$9,"3.1.3 ")&gt;0,Three!B$4,"-")</f>
        <v>-</v>
      </c>
      <c r="F32" t="str">
        <f>IF($A32&lt;&gt;"-",Three!$BD$14/Three!$BD$15,"")</f>
        <v/>
      </c>
      <c r="G32" t="str">
        <f>IF($A32&lt;&gt;"-",Three!$BD$13/Three!$BD$15,"")</f>
        <v/>
      </c>
      <c r="H32" t="str">
        <f>IF($A32&lt;&gt;"-",Three!$BD$12/Three!$BD$15,"")</f>
        <v/>
      </c>
      <c r="I32" t="str">
        <f>IF($A32&lt;&gt;"-",Three!$BD$11/Three!$BD$15,"")</f>
        <v/>
      </c>
      <c r="J32" t="str">
        <f>IF($A32&lt;&gt;"-",Three!$BD$10/Three!$BD$15,"")</f>
        <v/>
      </c>
    </row>
    <row r="34" spans="1:10">
      <c r="A34" s="1" t="s">
        <v>105</v>
      </c>
    </row>
    <row r="35" spans="1:10">
      <c r="A35" t="s">
        <v>88</v>
      </c>
      <c r="E35" t="s">
        <v>7</v>
      </c>
      <c r="H35" t="s">
        <v>89</v>
      </c>
    </row>
    <row r="36" spans="1:10">
      <c r="F36" s="15" t="s">
        <v>87</v>
      </c>
      <c r="G36" s="15" t="s">
        <v>86</v>
      </c>
      <c r="H36" s="15" t="s">
        <v>85</v>
      </c>
      <c r="I36" s="15" t="s">
        <v>84</v>
      </c>
      <c r="J36" s="15" t="s">
        <v>83</v>
      </c>
    </row>
    <row r="37" spans="1:10">
      <c r="A37" t="str">
        <f>IF(COUNTIF(One!E$9:X$9,"3.1.4 ")&gt;0,One!B$4,"-")</f>
        <v>-</v>
      </c>
      <c r="F37" s="17" t="str">
        <f>IF($A37&lt;&gt;"-",One!$BC$14/One!$BC$15,"")</f>
        <v/>
      </c>
      <c r="G37" s="17" t="str">
        <f>IF($A37&lt;&gt;"-",One!$BC$13/One!$BC$15,"")</f>
        <v/>
      </c>
      <c r="H37" s="17" t="str">
        <f>IF($A37&lt;&gt;"-",One!$BC$12/One!$BC$15,"")</f>
        <v/>
      </c>
      <c r="I37" s="17" t="str">
        <f>IF($A37&lt;&gt;"-",One!$BC$11/One!$BC$15,"")</f>
        <v/>
      </c>
      <c r="J37" s="17" t="str">
        <f>IF($A37&lt;&gt;"-",One!$BC$10/One!$BC$15,"")</f>
        <v/>
      </c>
    </row>
    <row r="38" spans="1:10">
      <c r="A38" t="str">
        <f>IF(COUNTIF(Two!E$9:Z$9,"3.1.4 ")&gt;0,Two!B$4,"-")</f>
        <v>-</v>
      </c>
      <c r="F38" s="17" t="str">
        <f>IF($A38&lt;&gt;"-",Two!$BE$14/Two!$BE$15,"")</f>
        <v/>
      </c>
      <c r="G38" s="17" t="str">
        <f>IF($A38&lt;&gt;"-",Two!$BE$13/Two!$BE$15,"")</f>
        <v/>
      </c>
      <c r="H38" s="17" t="str">
        <f>IF($A38&lt;&gt;"-",Two!$BE$12/Two!$BE$15,"")</f>
        <v/>
      </c>
      <c r="I38" s="17" t="str">
        <f>IF($A38&lt;&gt;"-",Two!$BE$11/Two!$BE$15,"")</f>
        <v/>
      </c>
      <c r="J38" s="17" t="str">
        <f>IF($A38&lt;&gt;"-",Two!$BE$10/Two!$BE$15,"")</f>
        <v/>
      </c>
    </row>
    <row r="39" spans="1:10">
      <c r="A39" t="str">
        <f>IF(COUNTIF(Three!E$9:Z$9,"3.1.4 ")&gt;0,Three!B$4,"-")</f>
        <v>-</v>
      </c>
      <c r="F39" t="str">
        <f>IF($A39&lt;&gt;"-",Three!$BE$14/Three!$BE$15,"")</f>
        <v/>
      </c>
      <c r="G39" t="str">
        <f>IF($A39&lt;&gt;"-",Three!$BE$13/Three!$BE$15,"")</f>
        <v/>
      </c>
      <c r="H39" t="str">
        <f>IF($A39&lt;&gt;"-",Three!$BE$12/Three!$BE$15,"")</f>
        <v/>
      </c>
      <c r="I39" t="str">
        <f>IF($A39&lt;&gt;"-",Three!$BE$11/Three!$BE$15,"")</f>
        <v/>
      </c>
      <c r="J39" t="str">
        <f>IF($A39&lt;&gt;"-",Three!$BE$10/Three!$BE$15,"")</f>
        <v/>
      </c>
    </row>
    <row r="41" spans="1:10">
      <c r="A41" s="1" t="s">
        <v>106</v>
      </c>
    </row>
    <row r="42" spans="1:10">
      <c r="A42" t="s">
        <v>88</v>
      </c>
      <c r="E42" t="s">
        <v>7</v>
      </c>
      <c r="H42" t="s">
        <v>89</v>
      </c>
    </row>
    <row r="43" spans="1:10">
      <c r="F43" s="15" t="s">
        <v>87</v>
      </c>
      <c r="G43" s="15" t="s">
        <v>86</v>
      </c>
      <c r="H43" s="15" t="s">
        <v>85</v>
      </c>
      <c r="I43" s="15" t="s">
        <v>84</v>
      </c>
      <c r="J43" s="15" t="s">
        <v>83</v>
      </c>
    </row>
    <row r="44" spans="1:10">
      <c r="A44" t="str">
        <f>IF(COUNTIF(One!E$9:X$9,"3.1.5 ")&gt;0,One!B$4,"-")</f>
        <v>-</v>
      </c>
      <c r="F44" s="17" t="str">
        <f>IF($A44&lt;&gt;"-",One!$BD$14/One!$BD$15,"")</f>
        <v/>
      </c>
      <c r="G44" s="17" t="str">
        <f>IF($A44&lt;&gt;"-",One!$BD$13/One!$BD$15,"")</f>
        <v/>
      </c>
      <c r="H44" s="17" t="str">
        <f>IF($A44&lt;&gt;"-",One!$BD$12/One!$BD$15,"")</f>
        <v/>
      </c>
      <c r="I44" s="17" t="str">
        <f>IF($A44&lt;&gt;"-",One!$BD$11/One!$BD$15,"")</f>
        <v/>
      </c>
      <c r="J44" s="17" t="str">
        <f>IF($A44&lt;&gt;"-",One!$BD$10/One!$BD$15,"")</f>
        <v/>
      </c>
    </row>
    <row r="45" spans="1:10">
      <c r="A45" t="str">
        <f>IF(COUNTIF(Two!E$9:Z$9,"3.1.5 ")&gt;0,Two!B$4,"-")</f>
        <v>-</v>
      </c>
      <c r="F45" s="17" t="str">
        <f>IF($A45&lt;&gt;"-",Two!$BF$14/Two!$BF$15,"")</f>
        <v/>
      </c>
      <c r="G45" s="17" t="str">
        <f>IF($A45&lt;&gt;"-",Two!$BF$13/Two!$BF$15,"")</f>
        <v/>
      </c>
      <c r="H45" s="17" t="str">
        <f>IF($A45&lt;&gt;"-",Two!$BF$12/Two!$BF$15,"")</f>
        <v/>
      </c>
      <c r="I45" s="17" t="str">
        <f>IF($A45&lt;&gt;"-",Two!$BF$11/Two!$BF$15,"")</f>
        <v/>
      </c>
      <c r="J45" s="17" t="str">
        <f>IF($A45&lt;&gt;"-",Two!$BF$10/Two!$BF$15,"")</f>
        <v/>
      </c>
    </row>
    <row r="46" spans="1:10">
      <c r="A46" t="str">
        <f>IF(COUNTIF(Three!E$9:Z$9,"3.1.5 ")&gt;0,Three!B$4,"-")</f>
        <v>-</v>
      </c>
      <c r="F46" t="str">
        <f>IF($A46&lt;&gt;"-",Three!$BF$14/Three!$BF$15,"")</f>
        <v/>
      </c>
      <c r="G46" t="str">
        <f>IF($A46&lt;&gt;"-",Three!$BF$13/Three!$BF$15,"")</f>
        <v/>
      </c>
      <c r="H46" t="str">
        <f>IF($A46&lt;&gt;"-",Three!$BF$12/Three!$BF$15,"")</f>
        <v/>
      </c>
      <c r="I46" t="str">
        <f>IF($A46&lt;&gt;"-",Three!$BF$11/Three!$BF$15,"")</f>
        <v/>
      </c>
      <c r="J46" t="str">
        <f>IF($A46&lt;&gt;"-",Three!$BF$10/Three!$BF$15,"")</f>
        <v/>
      </c>
    </row>
    <row r="48" spans="1:10">
      <c r="A48" s="1" t="s">
        <v>107</v>
      </c>
    </row>
    <row r="49" spans="1:10">
      <c r="A49" t="s">
        <v>88</v>
      </c>
      <c r="E49" t="s">
        <v>7</v>
      </c>
      <c r="H49" t="s">
        <v>89</v>
      </c>
    </row>
    <row r="50" spans="1:10">
      <c r="F50" s="15" t="s">
        <v>87</v>
      </c>
      <c r="G50" s="15" t="s">
        <v>86</v>
      </c>
      <c r="H50" s="15" t="s">
        <v>85</v>
      </c>
      <c r="I50" s="15" t="s">
        <v>84</v>
      </c>
      <c r="J50" s="15" t="s">
        <v>83</v>
      </c>
    </row>
    <row r="51" spans="1:10">
      <c r="A51" t="str">
        <f>IF(COUNTIF(One!E$9:X$9,"3.1.6 ")&gt;0,One!B$4,"-")</f>
        <v>-</v>
      </c>
      <c r="F51" s="17" t="str">
        <f>IF($A51&lt;&gt;"-",One!$BE$14/One!$BE$15,"")</f>
        <v/>
      </c>
      <c r="G51" s="17" t="str">
        <f>IF($A51&lt;&gt;"-",One!$BE$13/One!$BE$15,"")</f>
        <v/>
      </c>
      <c r="H51" s="17" t="str">
        <f>IF($A51&lt;&gt;"-",One!$BE$12/One!$BE$15,"")</f>
        <v/>
      </c>
      <c r="I51" s="17" t="str">
        <f>IF($A51&lt;&gt;"-",One!$BE$11/One!$BE$15,"")</f>
        <v/>
      </c>
      <c r="J51" s="17" t="str">
        <f>IF($A51&lt;&gt;"-",One!$BE$10/One!$BE$15,"")</f>
        <v/>
      </c>
    </row>
    <row r="52" spans="1:10">
      <c r="A52" t="str">
        <f>IF(COUNTIF(Two!E$9:Z$9,"3.1.6 ")&gt;0,Two!B$4,"-")</f>
        <v>-</v>
      </c>
      <c r="F52" s="17" t="str">
        <f>IF($A52&lt;&gt;"-",Two!$BG$14/Two!$BG$15,"")</f>
        <v/>
      </c>
      <c r="G52" s="17" t="str">
        <f>IF($A52&lt;&gt;"-",Two!$BG$13/Two!$BG$15,"")</f>
        <v/>
      </c>
      <c r="H52" s="17" t="str">
        <f>IF($A52&lt;&gt;"-",Two!$BG$12/Two!$BG$15,"")</f>
        <v/>
      </c>
      <c r="I52" s="17" t="str">
        <f>IF($A52&lt;&gt;"-",Two!$BG$11/Two!$BG$15,"")</f>
        <v/>
      </c>
      <c r="J52" s="17" t="str">
        <f>IF($A52&lt;&gt;"-",Two!$BG$10/Two!$BG$15,"")</f>
        <v/>
      </c>
    </row>
    <row r="53" spans="1:10">
      <c r="A53" t="str">
        <f>IF(COUNTIF(Three!E$9:Z$9,"3.1.6 ")&gt;0,Three!B$4,"-")</f>
        <v>-</v>
      </c>
      <c r="F53" t="str">
        <f>IF($A53&lt;&gt;"-",Three!$BG$14/Three!$BG$15,"")</f>
        <v/>
      </c>
      <c r="G53" t="str">
        <f>IF($A53&lt;&gt;"-",Three!$BG$13/Three!$BG$15,"")</f>
        <v/>
      </c>
      <c r="H53" t="str">
        <f>IF($A53&lt;&gt;"-",Three!$BG$12/Three!$BG$15,"")</f>
        <v/>
      </c>
      <c r="I53" t="str">
        <f>IF($A53&lt;&gt;"-",Three!$BG$11/Three!$BG$15,"")</f>
        <v/>
      </c>
      <c r="J53" t="str">
        <f>IF($A53&lt;&gt;"-",Three!$BG$10/Three!$BG$15,"")</f>
        <v/>
      </c>
    </row>
    <row r="55" spans="1:10">
      <c r="A55" s="1" t="s">
        <v>108</v>
      </c>
    </row>
    <row r="56" spans="1:10">
      <c r="A56" t="s">
        <v>88</v>
      </c>
      <c r="E56" t="s">
        <v>7</v>
      </c>
      <c r="H56" t="s">
        <v>89</v>
      </c>
    </row>
    <row r="57" spans="1:10">
      <c r="F57" s="15" t="s">
        <v>87</v>
      </c>
      <c r="G57" s="15" t="s">
        <v>86</v>
      </c>
      <c r="H57" s="15" t="s">
        <v>85</v>
      </c>
      <c r="I57" s="15" t="s">
        <v>84</v>
      </c>
      <c r="J57" s="15" t="s">
        <v>83</v>
      </c>
    </row>
    <row r="58" spans="1:10">
      <c r="A58" t="str">
        <f>IF(COUNTIF(One!E$9:X$9,"3.1.7 ")&gt;0,One!B$4,"-")</f>
        <v>-</v>
      </c>
      <c r="F58" s="17" t="str">
        <f>IF($A58&lt;&gt;"-",One!$BF$14/One!$BF$15,"")</f>
        <v/>
      </c>
      <c r="G58" s="17" t="str">
        <f>IF($A58&lt;&gt;"-",One!$BF$13/One!$BF$15,"")</f>
        <v/>
      </c>
      <c r="H58" s="17" t="str">
        <f>IF($A58&lt;&gt;"-",One!$BF$12/One!$BF$15,"")</f>
        <v/>
      </c>
      <c r="I58" s="17" t="str">
        <f>IF($A58&lt;&gt;"-",One!$BF$11/One!$BF$15,"")</f>
        <v/>
      </c>
      <c r="J58" s="17" t="str">
        <f>IF($A58&lt;&gt;"-",One!$BF$10/One!$BF$15,"")</f>
        <v/>
      </c>
    </row>
    <row r="59" spans="1:10">
      <c r="A59" t="str">
        <f>IF(COUNTIF(Two!E$9:Z$9,"3.1.7 ")&gt;0,Two!B$4,"-")</f>
        <v>-</v>
      </c>
      <c r="F59" s="17" t="str">
        <f>IF($A59&lt;&gt;"-",Two!$BH$14/Two!$BH$15,"")</f>
        <v/>
      </c>
      <c r="G59" s="17" t="str">
        <f>IF($A59&lt;&gt;"-",Two!$BH$13/Two!$BH$15,"")</f>
        <v/>
      </c>
      <c r="H59" s="17" t="str">
        <f>IF($A59&lt;&gt;"-",Two!$BH$12/Two!$BH$15,"")</f>
        <v/>
      </c>
      <c r="I59" s="17" t="str">
        <f>IF($A59&lt;&gt;"-",Two!$BH$11/Two!$BH$15,"")</f>
        <v/>
      </c>
      <c r="J59" s="17" t="str">
        <f>IF($A59&lt;&gt;"-",Two!$BH$10/Two!$BH$15,"")</f>
        <v/>
      </c>
    </row>
    <row r="60" spans="1:10">
      <c r="A60" t="str">
        <f>IF(COUNTIF(Three!E$9:Z$9,"3.1.7 ")&gt;0,Three!B$4,"-")</f>
        <v>-</v>
      </c>
      <c r="F60" t="str">
        <f>IF($A60&lt;&gt;"-",Three!$BH$14/Three!$BH$15,"")</f>
        <v/>
      </c>
      <c r="G60" t="str">
        <f>IF($A60&lt;&gt;"-",Three!$BH$13/Three!$BH$15,"")</f>
        <v/>
      </c>
      <c r="H60" t="str">
        <f>IF($A60&lt;&gt;"-",Three!$BH$12/Three!$BH$15,"")</f>
        <v/>
      </c>
      <c r="I60" t="str">
        <f>IF($A60&lt;&gt;"-",Three!$BH$11/Three!$BH$15,"")</f>
        <v/>
      </c>
      <c r="J60" t="str">
        <f>IF($A60&lt;&gt;"-",Three!$BH$10/Three!$BH$15,"")</f>
        <v/>
      </c>
    </row>
    <row r="62" spans="1:10">
      <c r="A62" s="1" t="s">
        <v>109</v>
      </c>
    </row>
    <row r="63" spans="1:10">
      <c r="A63" t="s">
        <v>88</v>
      </c>
      <c r="E63" t="s">
        <v>7</v>
      </c>
      <c r="H63" t="s">
        <v>89</v>
      </c>
    </row>
    <row r="64" spans="1:10">
      <c r="F64" s="15" t="s">
        <v>87</v>
      </c>
      <c r="G64" s="15" t="s">
        <v>86</v>
      </c>
      <c r="H64" s="15" t="s">
        <v>85</v>
      </c>
      <c r="I64" s="15" t="s">
        <v>84</v>
      </c>
      <c r="J64" s="15" t="s">
        <v>83</v>
      </c>
    </row>
    <row r="65" spans="1:10">
      <c r="A65" t="str">
        <f>IF(COUNTIF(One!E$9:X$9,"3.1.8 ")&gt;0,One!B$4,"-")</f>
        <v>-</v>
      </c>
      <c r="F65" s="17" t="str">
        <f>IF($A65&lt;&gt;"-",One!$BG$14/One!$BG$15,"")</f>
        <v/>
      </c>
      <c r="G65" s="17" t="str">
        <f>IF($A65&lt;&gt;"-",One!$BG$13/One!$BG$15,"")</f>
        <v/>
      </c>
      <c r="H65" s="17" t="str">
        <f>IF($A65&lt;&gt;"-",One!$BG$12/One!$BG$15,"")</f>
        <v/>
      </c>
      <c r="I65" s="17" t="str">
        <f>IF($A65&lt;&gt;"-",One!$BG$11/One!$BG$15,"")</f>
        <v/>
      </c>
      <c r="J65" s="17" t="str">
        <f>IF($A65&lt;&gt;"-",One!$BG$10/One!$BG$15,"")</f>
        <v/>
      </c>
    </row>
    <row r="66" spans="1:10">
      <c r="A66" t="str">
        <f>IF(COUNTIF(Two!E$9:Z$9,"3.1.8 ")&gt;0,Two!B$4,"-")</f>
        <v>-</v>
      </c>
      <c r="F66" s="17" t="str">
        <f>IF($A66&lt;&gt;"-",Two!$BI$14/Two!$BI$15,"")</f>
        <v/>
      </c>
      <c r="G66" s="17" t="str">
        <f>IF($A66&lt;&gt;"-",Two!$BI$13/Two!$BI$15,"")</f>
        <v/>
      </c>
      <c r="H66" s="17" t="str">
        <f>IF($A66&lt;&gt;"-",Two!$BI$12/Two!$BI$15,"")</f>
        <v/>
      </c>
      <c r="I66" s="17" t="str">
        <f>IF($A66&lt;&gt;"-",Two!$BI$11/Two!$BI$15,"")</f>
        <v/>
      </c>
      <c r="J66" s="17" t="str">
        <f>IF($A66&lt;&gt;"-",Two!$BI$10/Two!$BI$15,"")</f>
        <v/>
      </c>
    </row>
    <row r="67" spans="1:10">
      <c r="A67" t="str">
        <f>IF(COUNTIF(Three!E$9:Z$9,"3.1.8 ")&gt;0,Three!B$4,"-")</f>
        <v>-</v>
      </c>
      <c r="F67" t="str">
        <f>IF($A67&lt;&gt;"-",Three!$BI$14/Three!$BI$15,"")</f>
        <v/>
      </c>
      <c r="G67" t="str">
        <f>IF($A67&lt;&gt;"-",Three!$BI$13/Three!$BI$15,"")</f>
        <v/>
      </c>
      <c r="H67" t="str">
        <f>IF($A67&lt;&gt;"-",Three!$BI$12/Three!$BI$15,"")</f>
        <v/>
      </c>
      <c r="I67" t="str">
        <f>IF($A67&lt;&gt;"-",Three!$BI$11/Three!$BI$15,"")</f>
        <v/>
      </c>
      <c r="J67" t="str">
        <f>IF($A67&lt;&gt;"-",Three!$BI$10/Three!$BI$15,"")</f>
        <v/>
      </c>
    </row>
    <row r="69" spans="1:10">
      <c r="A69" s="1" t="s">
        <v>110</v>
      </c>
    </row>
    <row r="70" spans="1:10">
      <c r="A70" t="s">
        <v>88</v>
      </c>
      <c r="E70" t="s">
        <v>7</v>
      </c>
      <c r="H70" t="s">
        <v>89</v>
      </c>
    </row>
    <row r="71" spans="1:10">
      <c r="F71" s="15" t="s">
        <v>87</v>
      </c>
      <c r="G71" s="15" t="s">
        <v>86</v>
      </c>
      <c r="H71" s="15" t="s">
        <v>85</v>
      </c>
      <c r="I71" s="15" t="s">
        <v>84</v>
      </c>
      <c r="J71" s="15" t="s">
        <v>83</v>
      </c>
    </row>
    <row r="72" spans="1:10">
      <c r="A72" t="str">
        <f>IF(COUNTIF(One!E$9:X$9,"3.1.9 ")&gt;0,One!B$4,"-")</f>
        <v>-</v>
      </c>
      <c r="F72" s="17" t="str">
        <f>IF($A72&lt;&gt;"-",One!$BH$14/One!$BH$15,"")</f>
        <v/>
      </c>
      <c r="G72" s="17" t="str">
        <f>IF($A72&lt;&gt;"-",One!$BH$13/One!$BH$15,"")</f>
        <v/>
      </c>
      <c r="H72" s="17" t="str">
        <f>IF($A72&lt;&gt;"-",One!$BH$12/One!$BH$15,"")</f>
        <v/>
      </c>
      <c r="I72" s="17" t="str">
        <f>IF($A72&lt;&gt;"-",One!$BH$11/One!$BH$15,"")</f>
        <v/>
      </c>
      <c r="J72" s="17" t="str">
        <f>IF($A72&lt;&gt;"-",One!$BH$10/One!$BH$15,"")</f>
        <v/>
      </c>
    </row>
    <row r="73" spans="1:10">
      <c r="A73" t="str">
        <f>IF(COUNTIF(Two!E$9:Z$9,"3.1.9 ")&gt;0,Two!B$4,"-")</f>
        <v>-</v>
      </c>
      <c r="F73" s="17" t="str">
        <f>IF($A73&lt;&gt;"-",Two!$BJ$14/Two!$BJ$15,"")</f>
        <v/>
      </c>
      <c r="G73" s="17" t="str">
        <f>IF($A73&lt;&gt;"-",Two!$BJ$13/Two!$BJ$15,"")</f>
        <v/>
      </c>
      <c r="H73" s="17" t="str">
        <f>IF($A73&lt;&gt;"-",Two!$BJ$12/Two!$BJ$15,"")</f>
        <v/>
      </c>
      <c r="I73" s="17" t="str">
        <f>IF($A73&lt;&gt;"-",Two!$BJ$11/Two!$BJ$15,"")</f>
        <v/>
      </c>
      <c r="J73" s="17" t="str">
        <f>IF($A73&lt;&gt;"-",Two!$BJ$10/Two!$BJ$15,"")</f>
        <v/>
      </c>
    </row>
    <row r="74" spans="1:10">
      <c r="A74" t="str">
        <f>IF(COUNTIF(Three!E$9:Z$9,"3.1.9 ")&gt;0,Three!B$4,"-")</f>
        <v>-</v>
      </c>
      <c r="F74" t="str">
        <f>IF($A74&lt;&gt;"-",Three!$BJ$14/Three!$BJ$15,"")</f>
        <v/>
      </c>
      <c r="G74" t="str">
        <f>IF($A74&lt;&gt;"-",Three!$BJ$13/Three!$BJ$15,"")</f>
        <v/>
      </c>
      <c r="H74" t="str">
        <f>IF($A74&lt;&gt;"-",Three!$BJ$12/Three!$BJ$15,"")</f>
        <v/>
      </c>
      <c r="I74" t="str">
        <f>IF($A74&lt;&gt;"-",Three!$BJ$11/Three!$BJ$15,"")</f>
        <v/>
      </c>
      <c r="J74" t="str">
        <f>IF($A74&lt;&gt;"-",Three!$BJ$10/Three!$BJ$15,"")</f>
        <v/>
      </c>
    </row>
    <row r="76" spans="1:10">
      <c r="A76" s="1" t="s">
        <v>111</v>
      </c>
    </row>
    <row r="77" spans="1:10">
      <c r="A77" t="s">
        <v>88</v>
      </c>
      <c r="E77" t="s">
        <v>7</v>
      </c>
      <c r="H77" t="s">
        <v>89</v>
      </c>
    </row>
    <row r="78" spans="1:10">
      <c r="F78" s="15" t="s">
        <v>87</v>
      </c>
      <c r="G78" s="15" t="s">
        <v>86</v>
      </c>
      <c r="H78" s="15" t="s">
        <v>85</v>
      </c>
      <c r="I78" s="15" t="s">
        <v>84</v>
      </c>
      <c r="J78" s="15" t="s">
        <v>83</v>
      </c>
    </row>
    <row r="79" spans="1:10">
      <c r="A79" t="str">
        <f>IF(COUNTIF(One!E$9:X$9,"3.1.10")&gt;0,One!B$4,"-")</f>
        <v>-</v>
      </c>
      <c r="F79" s="17" t="str">
        <f>IF($A79&lt;&gt;"-",One!$BI$14/One!$BI$15,"")</f>
        <v/>
      </c>
      <c r="G79" s="17" t="str">
        <f>IF($A79&lt;&gt;"-",One!$BI$13/One!$BI$15,"")</f>
        <v/>
      </c>
      <c r="H79" s="17" t="str">
        <f>IF($A79&lt;&gt;"-",One!$BI$12/One!$BI$15,"")</f>
        <v/>
      </c>
      <c r="I79" s="17" t="str">
        <f>IF($A79&lt;&gt;"-",One!$BI$11/One!$BI$15,"")</f>
        <v/>
      </c>
      <c r="J79" s="17" t="str">
        <f>IF($A79&lt;&gt;"-",One!$BI$10/One!$BI$15,"")</f>
        <v/>
      </c>
    </row>
    <row r="80" spans="1:10">
      <c r="A80" t="str">
        <f>IF(COUNTIF(Two!E$9:Z$9,"3.1.10")&gt;0,Two!B$4,"-")</f>
        <v>-</v>
      </c>
      <c r="F80" s="17" t="str">
        <f>IF($A80&lt;&gt;"-",Two!$BK$14/Two!$BK$15,"")</f>
        <v/>
      </c>
      <c r="G80" s="17" t="str">
        <f>IF($A80&lt;&gt;"-",Two!$BK$13/Two!$BK$15,"")</f>
        <v/>
      </c>
      <c r="H80" s="17" t="str">
        <f>IF($A80&lt;&gt;"-",Two!$BK$12/Two!$BK$15,"")</f>
        <v/>
      </c>
      <c r="I80" s="17" t="str">
        <f>IF($A80&lt;&gt;"-",Two!$BK$11/Two!$BK$15,"")</f>
        <v/>
      </c>
      <c r="J80" s="17" t="str">
        <f>IF($A80&lt;&gt;"-",Two!$BK$10/Two!$BK$15,"")</f>
        <v/>
      </c>
    </row>
    <row r="81" spans="1:10">
      <c r="A81" t="str">
        <f>IF(COUNTIF(Three!E$9:Z$9,"3.1.10")&gt;0,Three!B$4,"-")</f>
        <v>-</v>
      </c>
      <c r="F81" t="str">
        <f>IF($A81&lt;&gt;"-",Three!$BK$14/Three!$BK$15,"")</f>
        <v/>
      </c>
      <c r="G81" t="str">
        <f>IF($A81&lt;&gt;"-",Three!$BK$13/Three!$BK$15,"")</f>
        <v/>
      </c>
      <c r="H81" t="str">
        <f>IF($A81&lt;&gt;"-",Three!$BK$12/Three!$BK$15,"")</f>
        <v/>
      </c>
      <c r="I81" t="str">
        <f>IF($A81&lt;&gt;"-",Three!$BK$11/Three!$BK$15,"")</f>
        <v/>
      </c>
      <c r="J81" t="str">
        <f>IF($A81&lt;&gt;"-",Three!$BK$10/Three!$BK$15,"")</f>
        <v/>
      </c>
    </row>
    <row r="83" spans="1:10">
      <c r="A83" s="1" t="s">
        <v>112</v>
      </c>
    </row>
    <row r="84" spans="1:10">
      <c r="A84" t="s">
        <v>88</v>
      </c>
      <c r="E84" t="s">
        <v>7</v>
      </c>
      <c r="H84" t="s">
        <v>89</v>
      </c>
    </row>
    <row r="85" spans="1:10">
      <c r="F85" s="15" t="s">
        <v>87</v>
      </c>
      <c r="G85" s="15" t="s">
        <v>86</v>
      </c>
      <c r="H85" s="15" t="s">
        <v>85</v>
      </c>
      <c r="I85" s="15" t="s">
        <v>84</v>
      </c>
      <c r="J85" s="15" t="s">
        <v>83</v>
      </c>
    </row>
    <row r="86" spans="1:10">
      <c r="A86" t="str">
        <f>IF(COUNTIF(One!E$9:X$9,"3.1.11")&gt;0,One!B$4,"-")</f>
        <v>-</v>
      </c>
      <c r="F86" s="17" t="str">
        <f>IF($A86&lt;&gt;"-",One!$BJ$14/One!$BJ$15,"")</f>
        <v/>
      </c>
      <c r="G86" s="17" t="str">
        <f>IF($A86&lt;&gt;"-",One!$BJ$13/One!$BJ$15,"")</f>
        <v/>
      </c>
      <c r="H86" s="17" t="str">
        <f>IF($A86&lt;&gt;"-",One!$BJ$12/One!$BJ$15,"")</f>
        <v/>
      </c>
      <c r="I86" s="17" t="str">
        <f>IF($A86&lt;&gt;"-",One!$BJ$11/One!$BJ$15,"")</f>
        <v/>
      </c>
      <c r="J86" s="17" t="str">
        <f>IF($A86&lt;&gt;"-",One!$BJ$10/One!$BJ$15,"")</f>
        <v/>
      </c>
    </row>
    <row r="87" spans="1:10">
      <c r="A87" t="str">
        <f>IF(COUNTIF(Two!E$9:Z$9,"3.1.11")&gt;0,Two!B$4,"-")</f>
        <v>-</v>
      </c>
      <c r="F87" s="17" t="str">
        <f>IF($A87&lt;&gt;"-",Two!$BL$14/Two!$BL$15,"")</f>
        <v/>
      </c>
      <c r="G87" s="17" t="str">
        <f>IF($A87&lt;&gt;"-",Two!$BL$13/Two!$BL$15,"")</f>
        <v/>
      </c>
      <c r="H87" s="17" t="str">
        <f>IF($A87&lt;&gt;"-",Two!$BL$12/Two!$BL$15,"")</f>
        <v/>
      </c>
      <c r="I87" s="17" t="str">
        <f>IF($A87&lt;&gt;"-",Two!$BL$11/Two!$BL$15,"")</f>
        <v/>
      </c>
      <c r="J87" s="17" t="str">
        <f>IF($A87&lt;&gt;"-",Two!$BL$10/Two!$BL$15,"")</f>
        <v/>
      </c>
    </row>
    <row r="88" spans="1:10">
      <c r="A88" t="str">
        <f>IF(COUNTIF(Three!E$9:Z$9,"3.1.11")&gt;0,Three!B$4,"-")</f>
        <v>-</v>
      </c>
      <c r="F88" t="str">
        <f>IF($A88&lt;&gt;"-",Three!$BL$14/Three!$BL$15,"")</f>
        <v/>
      </c>
      <c r="G88" t="str">
        <f>IF($A88&lt;&gt;"-",Three!$BL$13/Three!$BL$15,"")</f>
        <v/>
      </c>
      <c r="H88" t="str">
        <f>IF($A88&lt;&gt;"-",Three!$BL$12/Three!$BL$15,"")</f>
        <v/>
      </c>
      <c r="I88" t="str">
        <f>IF($A88&lt;&gt;"-",Three!$BL$11/Three!$BL$15,"")</f>
        <v/>
      </c>
      <c r="J88" t="str">
        <f>IF($A88&lt;&gt;"-",Three!$BL$10/Three!$BL$15,"")</f>
        <v/>
      </c>
    </row>
    <row r="90" spans="1:10">
      <c r="A90" s="1" t="s">
        <v>113</v>
      </c>
    </row>
    <row r="91" spans="1:10">
      <c r="A91" t="s">
        <v>88</v>
      </c>
      <c r="E91" t="s">
        <v>7</v>
      </c>
      <c r="H91" t="s">
        <v>89</v>
      </c>
    </row>
    <row r="92" spans="1:10">
      <c r="F92" s="15" t="s">
        <v>87</v>
      </c>
      <c r="G92" s="15" t="s">
        <v>86</v>
      </c>
      <c r="H92" s="15" t="s">
        <v>85</v>
      </c>
      <c r="I92" s="15" t="s">
        <v>84</v>
      </c>
      <c r="J92" s="15" t="s">
        <v>83</v>
      </c>
    </row>
    <row r="93" spans="1:10">
      <c r="A93" t="str">
        <f>IF(COUNTIF(One!E$9:X$9,"3.1.12")&gt;0,One!B$4,"-")</f>
        <v>-</v>
      </c>
      <c r="F93" s="17" t="str">
        <f>IF($A93&lt;&gt;"-",One!$BK$14/One!$BK$15,"")</f>
        <v/>
      </c>
      <c r="G93" s="17" t="str">
        <f>IF($A93&lt;&gt;"-",One!$BK$13/One!$BK$15,"")</f>
        <v/>
      </c>
      <c r="H93" s="17" t="str">
        <f>IF($A93&lt;&gt;"-",One!$BK$12/One!$BK$15,"")</f>
        <v/>
      </c>
      <c r="I93" s="17" t="str">
        <f>IF($A93&lt;&gt;"-",One!$BK$11/One!$BK$15,"")</f>
        <v/>
      </c>
      <c r="J93" s="17" t="str">
        <f>IF($A93&lt;&gt;"-",One!$BK$10/One!$BK$15,"")</f>
        <v/>
      </c>
    </row>
    <row r="94" spans="1:10">
      <c r="A94" t="str">
        <f>IF(COUNTIF(Two!E$9:Z$9,"3.1.12")&gt;0,Two!B$4,"-")</f>
        <v>-</v>
      </c>
      <c r="F94" s="17" t="str">
        <f>IF($A94&lt;&gt;"-",Two!$BM$14/Two!$BM$15,"")</f>
        <v/>
      </c>
      <c r="G94" s="17" t="str">
        <f>IF($A94&lt;&gt;"-",Two!$BM$13/Two!$BM$15,"")</f>
        <v/>
      </c>
      <c r="H94" s="17" t="str">
        <f>IF($A94&lt;&gt;"-",Two!$BM$12/Two!$BM$15,"")</f>
        <v/>
      </c>
      <c r="I94" s="17" t="str">
        <f>IF($A94&lt;&gt;"-",Two!$BM$11/Two!$BM$15,"")</f>
        <v/>
      </c>
      <c r="J94" s="17" t="str">
        <f>IF($A94&lt;&gt;"-",Two!$BM$10/Two!$BM$15,"")</f>
        <v/>
      </c>
    </row>
    <row r="95" spans="1:10">
      <c r="A95" t="str">
        <f>IF(COUNTIF(Three!E$9:Z$9,"3.1.12")&gt;0,Three!B$4,"-")</f>
        <v>-</v>
      </c>
      <c r="F95" t="str">
        <f>IF($A95&lt;&gt;"-",Three!$BM$14/Three!$BM$15,"")</f>
        <v/>
      </c>
      <c r="G95" t="str">
        <f>IF($A95&lt;&gt;"-",Three!$BM$13/Three!$BM$15,"")</f>
        <v/>
      </c>
      <c r="H95" t="str">
        <f>IF($A95&lt;&gt;"-",Three!$BM$12/Three!$BM$15,"")</f>
        <v/>
      </c>
      <c r="I95" t="str">
        <f>IF($A95&lt;&gt;"-",Three!$BM$11/Three!$BM$15,"")</f>
        <v/>
      </c>
      <c r="J95" t="str">
        <f>IF($A95&lt;&gt;"-",Three!$BM$10/Three!$BM$15,"")</f>
        <v/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LO</vt:lpstr>
      <vt:lpstr>Grades</vt:lpstr>
      <vt:lpstr>One</vt:lpstr>
      <vt:lpstr>Two</vt:lpstr>
      <vt:lpstr>Three</vt:lpstr>
      <vt:lpstr>Summary</vt:lpstr>
    </vt:vector>
  </TitlesOfParts>
  <Company>University of Calgary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Brennan</dc:creator>
  <cp:lastModifiedBy>chris wozniak</cp:lastModifiedBy>
  <dcterms:created xsi:type="dcterms:W3CDTF">2016-02-12T21:05:57Z</dcterms:created>
  <dcterms:modified xsi:type="dcterms:W3CDTF">2016-05-29T06:02:47Z</dcterms:modified>
</cp:coreProperties>
</file>